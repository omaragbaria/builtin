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ealing and Adhesives" sheetId="1" state="visible" r:id="rId1"/>
    <sheet name="Paints, Sprays, Cleaning" sheetId="2" state="visible" r:id="rId2"/>
    <sheet name="Cutting and Grinding" sheetId="3" state="visible" r:id="rId3"/>
    <sheet name="Polishing and Sanding" sheetId="4" state="visible" r:id="rId4"/>
    <sheet name="Ceramics and Tiling" sheetId="5" state="visible" r:id="rId5"/>
    <sheet name="Plasterboard" sheetId="6" state="visible" r:id="rId6"/>
    <sheet name="Cement and Adhesives" sheetId="7" state="visible" r:id="rId7"/>
    <sheet name="Iron Metal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 Narrow"/>
      <family val="2"/>
      <color theme="1"/>
      <sz val="11"/>
      <scheme val="minor"/>
    </font>
    <font>
      <name val="Carlito"/>
      <b val="1"/>
      <color theme="0"/>
      <sz val="13"/>
    </font>
    <font>
      <name val="Carlito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selection activeCell="C16" sqref="C16"/>
    </sheetView>
  </sheetViews>
  <sheetFormatPr baseColWidth="8" defaultColWidth="45.1796875" defaultRowHeight="14.5" outlineLevelCol="0"/>
  <cols>
    <col width="21.54296875" bestFit="1" customWidth="1" min="1" max="1"/>
    <col width="7.6328125" bestFit="1" customWidth="1" min="2" max="2"/>
    <col width="11.54296875" bestFit="1" customWidth="1" min="3" max="3"/>
    <col width="16.7265625" bestFit="1" customWidth="1" min="4" max="4"/>
    <col width="5.36328125" bestFit="1" customWidth="1" min="5" max="5"/>
    <col width="11.90625" bestFit="1" customWidth="1" min="6" max="6"/>
    <col width="11.81640625" bestFit="1" customWidth="1" min="7" max="7"/>
  </cols>
  <sheetData>
    <row r="1" ht="16.5" customHeight="1">
      <c r="A1" s="1" t="inlineStr">
        <is>
          <t>Sealing and Adhesives</t>
        </is>
      </c>
      <c r="B1" s="1" t="n"/>
      <c r="C1" s="1" t="n"/>
      <c r="D1" s="1" t="n"/>
      <c r="E1" s="1" t="n"/>
      <c r="F1" s="1" t="inlineStr">
        <is>
          <t>Customer Price</t>
        </is>
      </c>
      <c r="G1" s="1" t="inlineStr">
        <is>
          <t>Contractor Price</t>
        </is>
      </c>
    </row>
    <row r="2">
      <c r="A2" s="2" t="inlineStr">
        <is>
          <t>SKU</t>
        </is>
      </c>
      <c r="B2" s="2" t="inlineStr">
        <is>
          <t>Product Name</t>
        </is>
      </c>
      <c r="C2" s="2" t="inlineStr">
        <is>
          <t>Qty per Carton</t>
        </is>
      </c>
      <c r="D2" s="2" t="inlineStr">
        <is>
          <t>Description/Weight</t>
        </is>
      </c>
      <c r="E2" s="2" t="inlineStr">
        <is>
          <t>Price</t>
        </is>
      </c>
      <c r="F2" s="2" t="inlineStr">
        <is>
          <t>Customer Price</t>
        </is>
      </c>
      <c r="G2" s="2" t="inlineStr">
        <is>
          <t>Contractor Price</t>
        </is>
      </c>
      <c r="H2" s="2" t="n"/>
    </row>
    <row r="3">
      <c r="A3" s="3" t="inlineStr">
        <is>
          <t>100010</t>
        </is>
      </c>
      <c r="B3" s="3" t="inlineStr">
        <is>
          <t>Super 7</t>
        </is>
      </c>
      <c r="C3" s="3" t="n"/>
      <c r="D3" s="3" t="inlineStr">
        <is>
          <t>12 | 290 ml | Clear</t>
        </is>
      </c>
      <c r="E3" s="4" t="n">
        <v>24</v>
      </c>
      <c r="F3" t="n">
        <v>35</v>
      </c>
      <c r="G3" t="n">
        <v>30</v>
      </c>
    </row>
    <row r="4">
      <c r="A4" s="3" t="inlineStr">
        <is>
          <t>100533</t>
        </is>
      </c>
      <c r="B4" s="3" t="inlineStr">
        <is>
          <t>Super 7</t>
        </is>
      </c>
      <c r="C4" s="3" t="n"/>
      <c r="D4" s="3" t="inlineStr">
        <is>
          <t>12 | 290 ml | White</t>
        </is>
      </c>
      <c r="E4" s="4" t="n">
        <v>23</v>
      </c>
      <c r="F4" t="n">
        <v>35</v>
      </c>
      <c r="G4" t="n">
        <v>30</v>
      </c>
    </row>
    <row r="5">
      <c r="A5" s="3" t="inlineStr">
        <is>
          <t>100210</t>
        </is>
      </c>
      <c r="B5" s="3" t="inlineStr">
        <is>
          <t>Super 7</t>
        </is>
      </c>
      <c r="C5" s="3" t="n"/>
      <c r="D5" s="3" t="inlineStr">
        <is>
          <t>12 | 290 ml | Pergamon</t>
        </is>
      </c>
      <c r="E5" s="4" t="n">
        <v>23</v>
      </c>
      <c r="F5" t="n">
        <v>35</v>
      </c>
      <c r="G5" t="n">
        <v>30</v>
      </c>
    </row>
    <row r="6">
      <c r="A6" s="3" t="inlineStr">
        <is>
          <t>100211</t>
        </is>
      </c>
      <c r="B6" s="3" t="inlineStr">
        <is>
          <t>Super 7</t>
        </is>
      </c>
      <c r="C6" s="3" t="n"/>
      <c r="D6" s="3" t="inlineStr">
        <is>
          <t>12 | 290 ml | Black</t>
        </is>
      </c>
      <c r="E6" s="4" t="n">
        <v>23</v>
      </c>
      <c r="F6" t="n">
        <v>35</v>
      </c>
      <c r="G6" t="n">
        <v>30</v>
      </c>
    </row>
    <row r="7">
      <c r="A7" s="3" t="inlineStr">
        <is>
          <t>102950</t>
        </is>
      </c>
      <c r="B7" s="3" t="inlineStr">
        <is>
          <t>Super 7</t>
        </is>
      </c>
      <c r="C7" s="3" t="n"/>
      <c r="D7" s="3" t="inlineStr">
        <is>
          <t>12 | 290 ml | Gray</t>
        </is>
      </c>
      <c r="E7" s="4" t="n">
        <v>23</v>
      </c>
      <c r="F7" t="n">
        <v>35</v>
      </c>
      <c r="G7" t="n">
        <v>30</v>
      </c>
    </row>
    <row r="8">
      <c r="A8" s="3" t="inlineStr">
        <is>
          <t>103394</t>
        </is>
      </c>
      <c r="B8" s="3" t="inlineStr">
        <is>
          <t>Super 7</t>
        </is>
      </c>
      <c r="C8" s="3" t="n"/>
      <c r="D8" s="3" t="inlineStr">
        <is>
          <t>25 | 80 ml | Clear</t>
        </is>
      </c>
      <c r="E8" s="4" t="n">
        <v>16</v>
      </c>
      <c r="F8" t="n">
        <v>24</v>
      </c>
      <c r="G8" s="3" t="inlineStr">
        <is>
          <t>X</t>
        </is>
      </c>
    </row>
    <row r="9">
      <c r="A9" s="3" t="inlineStr">
        <is>
          <t>103393</t>
        </is>
      </c>
      <c r="B9" s="3" t="inlineStr">
        <is>
          <t>Super 7</t>
        </is>
      </c>
      <c r="C9" s="3" t="n"/>
      <c r="D9" s="3" t="inlineStr">
        <is>
          <t>25 | 80 ml | White</t>
        </is>
      </c>
      <c r="E9" s="4" t="n">
        <v>15</v>
      </c>
      <c r="F9" t="n">
        <v>24</v>
      </c>
      <c r="G9" s="3" t="inlineStr">
        <is>
          <t>X</t>
        </is>
      </c>
    </row>
    <row r="10">
      <c r="A10" s="3" t="inlineStr">
        <is>
          <t>103125</t>
        </is>
      </c>
      <c r="B10" s="3" t="inlineStr">
        <is>
          <t>Super 8</t>
        </is>
      </c>
      <c r="C10" s="3" t="n"/>
      <c r="D10" s="3" t="inlineStr">
        <is>
          <t>24 | 290 ml | White</t>
        </is>
      </c>
      <c r="E10" s="4" t="n">
        <v>19.5</v>
      </c>
      <c r="F10" t="n">
        <v>30</v>
      </c>
      <c r="G10" s="3" t="n">
        <v>25</v>
      </c>
    </row>
    <row r="11">
      <c r="A11" s="3" t="inlineStr">
        <is>
          <t>103126</t>
        </is>
      </c>
      <c r="B11" s="3" t="inlineStr">
        <is>
          <t>Super 8</t>
        </is>
      </c>
      <c r="C11" s="3" t="n"/>
      <c r="D11" s="3" t="inlineStr">
        <is>
          <t>24 | 290 ml | Clear</t>
        </is>
      </c>
      <c r="E11" s="4" t="n">
        <v>19.5</v>
      </c>
      <c r="F11" t="n">
        <v>30</v>
      </c>
      <c r="G11" s="3" t="n">
        <v>25</v>
      </c>
    </row>
    <row r="12">
      <c r="A12" s="3" t="inlineStr">
        <is>
          <t>100788</t>
        </is>
      </c>
      <c r="B12" s="3" t="inlineStr">
        <is>
          <t>Super 10</t>
        </is>
      </c>
      <c r="C12" s="3" t="n"/>
      <c r="D12" s="3" t="inlineStr">
        <is>
          <t>12 | 290 ml | Clear</t>
        </is>
      </c>
      <c r="E12" s="4" t="n">
        <v>14.5</v>
      </c>
      <c r="F12" t="n">
        <v>30</v>
      </c>
      <c r="G12" s="3" t="n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D16" sqref="D16"/>
    </sheetView>
  </sheetViews>
  <sheetFormatPr baseColWidth="8" defaultColWidth="31.08984375" defaultRowHeight="14.5" outlineLevelCol="0"/>
  <cols>
    <col width="19.81640625" bestFit="1" customWidth="1" min="1" max="1"/>
    <col width="20.6328125" bestFit="1" customWidth="1" min="2" max="2"/>
    <col width="11.54296875" bestFit="1" customWidth="1" min="3" max="3"/>
    <col width="12.7265625" bestFit="1" customWidth="1" min="4" max="4"/>
    <col width="6.36328125" bestFit="1" customWidth="1" min="5" max="5"/>
    <col width="9.26953125" bestFit="1" customWidth="1" min="6" max="6"/>
    <col width="9.7265625" bestFit="1" customWidth="1" min="7" max="7"/>
  </cols>
  <sheetData>
    <row r="1" ht="16.5" customHeight="1">
      <c r="A1" s="1" t="inlineStr">
        <is>
          <t>Paints, Sprays, Cleaning</t>
        </is>
      </c>
      <c r="B1" s="1" t="n"/>
      <c r="C1" s="1" t="n"/>
      <c r="D1" s="1" t="n"/>
      <c r="E1" s="1" t="n"/>
    </row>
    <row r="2">
      <c r="A2" s="2" t="inlineStr">
        <is>
          <t>SKU</t>
        </is>
      </c>
      <c r="B2" s="2" t="inlineStr">
        <is>
          <t>Product Name</t>
        </is>
      </c>
      <c r="C2" s="2" t="inlineStr">
        <is>
          <t>Qty per Carton</t>
        </is>
      </c>
      <c r="D2" s="2" t="inlineStr">
        <is>
          <t>Description/Weight</t>
        </is>
      </c>
      <c r="E2" s="2" t="inlineStr">
        <is>
          <t>Price</t>
        </is>
      </c>
      <c r="F2" s="2" t="inlineStr">
        <is>
          <t>Customer Price</t>
        </is>
      </c>
      <c r="G2" s="2" t="inlineStr">
        <is>
          <t>Contractor Price</t>
        </is>
      </c>
      <c r="H2" s="2" t="n"/>
    </row>
    <row r="3">
      <c r="A3" s="3" t="inlineStr">
        <is>
          <t>100480</t>
        </is>
      </c>
      <c r="B3" s="3" t="inlineStr">
        <is>
          <t>Grease</t>
        </is>
      </c>
      <c r="C3" s="3" t="n">
        <v>12</v>
      </c>
      <c r="D3" s="3" t="inlineStr">
        <is>
          <t>400 ml | Cartridge</t>
        </is>
      </c>
      <c r="E3" s="4" t="n">
        <v>16.5</v>
      </c>
      <c r="F3" t="n">
        <v>28</v>
      </c>
      <c r="G3" s="3" t="n">
        <v>25</v>
      </c>
    </row>
    <row r="4">
      <c r="A4" s="3" t="inlineStr">
        <is>
          <t>102108</t>
        </is>
      </c>
      <c r="B4" s="3" t="inlineStr">
        <is>
          <t>Grease</t>
        </is>
      </c>
      <c r="C4" s="3" t="n">
        <v>1</v>
      </c>
      <c r="D4" s="3" t="inlineStr">
        <is>
          <t>15 kg | Tin Can</t>
        </is>
      </c>
      <c r="E4" s="4" t="n">
        <v>200</v>
      </c>
      <c r="F4" t="n">
        <v>290</v>
      </c>
      <c r="G4" s="5" t="n">
        <v>250</v>
      </c>
    </row>
    <row r="5">
      <c r="A5" s="3" t="inlineStr">
        <is>
          <t>101385</t>
        </is>
      </c>
      <c r="B5" s="3" t="inlineStr">
        <is>
          <t>Grease Spray</t>
        </is>
      </c>
      <c r="C5" s="3" t="n">
        <v>12</v>
      </c>
      <c r="D5" s="3" t="inlineStr">
        <is>
          <t>400 ml</t>
        </is>
      </c>
      <c r="E5" s="4" t="n">
        <v>11</v>
      </c>
      <c r="F5" t="n">
        <v>25</v>
      </c>
      <c r="G5" s="6">
        <f>F5*(1-15%)</f>
        <v/>
      </c>
    </row>
    <row r="6">
      <c r="A6" s="3" t="inlineStr">
        <is>
          <t>103283</t>
        </is>
      </c>
      <c r="B6" s="3" t="inlineStr">
        <is>
          <t>Sticker Remover Spray</t>
        </is>
      </c>
      <c r="C6" s="3" t="n">
        <v>12</v>
      </c>
      <c r="D6" s="3" t="inlineStr">
        <is>
          <t>300 ml</t>
        </is>
      </c>
      <c r="E6" s="4" t="n">
        <v>23</v>
      </c>
      <c r="F6" t="n">
        <v>35</v>
      </c>
      <c r="G6" s="6">
        <f>F6*(1-15%)</f>
        <v/>
      </c>
    </row>
    <row r="7">
      <c r="A7" s="3" t="inlineStr">
        <is>
          <t>100167</t>
        </is>
      </c>
      <c r="B7" s="3" t="inlineStr">
        <is>
          <t>Tar Spray</t>
        </is>
      </c>
      <c r="C7" s="3" t="n">
        <v>12</v>
      </c>
      <c r="D7" s="3" t="inlineStr">
        <is>
          <t>600ml - 530 gr</t>
        </is>
      </c>
      <c r="E7" s="4" t="n">
        <v>13</v>
      </c>
      <c r="F7" t="n">
        <v>30</v>
      </c>
      <c r="G7" s="6">
        <f>F7*(1-15%)</f>
        <v/>
      </c>
    </row>
    <row r="8">
      <c r="A8" s="3" t="inlineStr">
        <is>
          <t>100111</t>
        </is>
      </c>
      <c r="B8" s="3" t="inlineStr">
        <is>
          <t>Rust Spray</t>
        </is>
      </c>
      <c r="C8" s="3" t="n">
        <v>12</v>
      </c>
      <c r="D8" s="3" t="inlineStr">
        <is>
          <t>400 ml</t>
        </is>
      </c>
      <c r="E8" s="4" t="n">
        <v>6.5</v>
      </c>
      <c r="F8" t="n">
        <v>15</v>
      </c>
      <c r="G8" s="6">
        <f>F8*(1-15%)</f>
        <v/>
      </c>
    </row>
    <row r="9">
      <c r="A9" s="3" t="inlineStr">
        <is>
          <t>100402</t>
        </is>
      </c>
      <c r="B9" s="3" t="inlineStr">
        <is>
          <t>Rust Spray American Eagle</t>
        </is>
      </c>
      <c r="C9" s="3" t="n">
        <v>12</v>
      </c>
      <c r="D9" s="3" t="inlineStr">
        <is>
          <t>650 ml</t>
        </is>
      </c>
      <c r="E9" s="4" t="n">
        <v>12.5</v>
      </c>
      <c r="F9" t="n">
        <v>25</v>
      </c>
      <c r="G9" s="6">
        <f>F9*(1-15%)</f>
        <v/>
      </c>
    </row>
    <row r="10">
      <c r="A10" s="3" t="inlineStr">
        <is>
          <t>103284</t>
        </is>
      </c>
      <c r="B10" s="3" t="inlineStr">
        <is>
          <t>WD40 Oil Spray</t>
        </is>
      </c>
      <c r="C10" s="3" t="n">
        <v>12</v>
      </c>
      <c r="D10" s="3" t="inlineStr">
        <is>
          <t>330 ml</t>
        </is>
      </c>
      <c r="E10" s="4" t="n">
        <v>19.5</v>
      </c>
      <c r="F10" t="n">
        <v>35</v>
      </c>
      <c r="G10" s="6">
        <f>F10*(1-15%)</f>
        <v/>
      </c>
    </row>
    <row r="11">
      <c r="A11" s="3" t="inlineStr">
        <is>
          <t>103368</t>
        </is>
      </c>
      <c r="B11" s="3" t="inlineStr">
        <is>
          <t>WD40 Oil Spray</t>
        </is>
      </c>
      <c r="C11" s="3" t="n">
        <v>12</v>
      </c>
      <c r="D11" s="3" t="inlineStr">
        <is>
          <t>200 ml</t>
        </is>
      </c>
      <c r="E11" s="4" t="n">
        <v>14.5</v>
      </c>
      <c r="F11" t="n">
        <v>25</v>
      </c>
      <c r="G11" s="6">
        <f>F11*(1-15%)</f>
        <v/>
      </c>
    </row>
    <row r="12">
      <c r="A12" s="3" t="inlineStr">
        <is>
          <t>100505</t>
        </is>
      </c>
      <c r="B12" s="3" t="inlineStr">
        <is>
          <t>Cold Galvanizing Zinc Spray</t>
        </is>
      </c>
      <c r="C12" s="3" t="n">
        <v>12</v>
      </c>
      <c r="D12" s="3" t="inlineStr">
        <is>
          <t>400 ml</t>
        </is>
      </c>
      <c r="E12" s="4" t="n">
        <v>5</v>
      </c>
      <c r="F12" t="n">
        <v>10</v>
      </c>
      <c r="G12" s="6">
        <f>F12*(1-15%)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C11" sqref="C11"/>
    </sheetView>
  </sheetViews>
  <sheetFormatPr baseColWidth="8" defaultColWidth="49.54296875" defaultRowHeight="14.5" outlineLevelCol="0"/>
  <cols>
    <col width="21.6328125" bestFit="1" customWidth="1" min="1" max="1"/>
    <col width="25.26953125" bestFit="1" customWidth="1" min="2" max="2"/>
    <col width="11.54296875" bestFit="1" customWidth="1" min="3" max="3"/>
    <col width="28" bestFit="1" customWidth="1" min="4" max="4"/>
    <col width="5.36328125" bestFit="1" customWidth="1" min="5" max="5"/>
    <col width="9.26953125" bestFit="1" customWidth="1" min="6" max="6"/>
    <col width="9.7265625" bestFit="1" customWidth="1" min="7" max="7"/>
  </cols>
  <sheetData>
    <row r="1" ht="16.5" customHeight="1">
      <c r="A1" s="1" t="inlineStr">
        <is>
          <t>Cutting and Grinding</t>
        </is>
      </c>
      <c r="B1" s="1" t="n"/>
      <c r="C1" s="1" t="n"/>
      <c r="D1" s="1" t="n"/>
    </row>
    <row r="2">
      <c r="A2" s="2" t="inlineStr">
        <is>
          <t>SKU</t>
        </is>
      </c>
      <c r="B2" s="2" t="inlineStr">
        <is>
          <t>Product Name</t>
        </is>
      </c>
      <c r="C2" s="2" t="inlineStr">
        <is>
          <t>Qty per Carton</t>
        </is>
      </c>
      <c r="D2" s="2" t="inlineStr">
        <is>
          <t>Description/Diameter</t>
        </is>
      </c>
      <c r="E2" s="2" t="inlineStr">
        <is>
          <t>Price</t>
        </is>
      </c>
      <c r="F2" s="2" t="inlineStr">
        <is>
          <t>Customer Price</t>
        </is>
      </c>
      <c r="G2" s="2" t="inlineStr">
        <is>
          <t>Contractor Price</t>
        </is>
      </c>
      <c r="H2" s="2" t="n"/>
    </row>
    <row r="3">
      <c r="A3" s="3" t="inlineStr">
        <is>
          <t>102451</t>
        </is>
      </c>
      <c r="B3" s="3" t="inlineStr">
        <is>
          <t>Iron Cutting Disc</t>
        </is>
      </c>
      <c r="C3" s="3" t="n">
        <v>50</v>
      </c>
      <c r="D3" s="3" t="inlineStr">
        <is>
          <t>230x3x22.2 | 9x1/8 | 9"</t>
        </is>
      </c>
      <c r="E3" s="4" t="n">
        <v>4.25</v>
      </c>
      <c r="F3">
        <f>E3*2</f>
        <v/>
      </c>
      <c r="G3">
        <f>F3*(1-30%)</f>
        <v/>
      </c>
    </row>
    <row r="4">
      <c r="A4" s="3" t="inlineStr">
        <is>
          <t>102453</t>
        </is>
      </c>
      <c r="B4" s="3" t="inlineStr">
        <is>
          <t>Iron Cutting Disc</t>
        </is>
      </c>
      <c r="C4" s="3" t="n">
        <v>100</v>
      </c>
      <c r="D4" s="3" t="inlineStr">
        <is>
          <t>115x3.2x22.2 | 4.5x1/8 | 4.5"</t>
        </is>
      </c>
      <c r="E4" s="4" t="n">
        <v>2.5</v>
      </c>
      <c r="F4">
        <f>E4*2</f>
        <v/>
      </c>
      <c r="G4">
        <f>F4*(1-30%)</f>
        <v/>
      </c>
    </row>
    <row r="5">
      <c r="A5" s="3" t="inlineStr">
        <is>
          <t>102452</t>
        </is>
      </c>
      <c r="B5" s="3" t="inlineStr">
        <is>
          <t>Iron Cutting Disc</t>
        </is>
      </c>
      <c r="C5" s="3" t="n">
        <v>100</v>
      </c>
      <c r="D5" s="3" t="inlineStr">
        <is>
          <t>115x1.6x22.2 | 4.5x1/16 | Thin 4.5"</t>
        </is>
      </c>
      <c r="E5" s="4" t="n">
        <v>1.3</v>
      </c>
      <c r="F5">
        <f>E5*2</f>
        <v/>
      </c>
      <c r="G5">
        <f>F5*(1-30%)</f>
        <v/>
      </c>
    </row>
    <row r="6">
      <c r="A6" s="3" t="inlineStr">
        <is>
          <t>102458</t>
        </is>
      </c>
      <c r="B6" s="3" t="inlineStr">
        <is>
          <t>Iron Cutting Disc</t>
        </is>
      </c>
      <c r="C6" s="3" t="n">
        <v>25</v>
      </c>
      <c r="D6" s="3" t="inlineStr">
        <is>
          <t>350x3.0x25.4 | 14x1/8 | 14"</t>
        </is>
      </c>
      <c r="E6" s="4" t="n">
        <v>12</v>
      </c>
      <c r="F6">
        <f>E6*2</f>
        <v/>
      </c>
      <c r="G6">
        <f>F6*(1-30%)</f>
        <v/>
      </c>
    </row>
    <row r="7">
      <c r="A7" s="3" t="inlineStr">
        <is>
          <t>100584</t>
        </is>
      </c>
      <c r="B7" s="3" t="inlineStr">
        <is>
          <t>Gamal Sharid 9" Iron Cutting Disc</t>
        </is>
      </c>
      <c r="C7" s="3" t="n">
        <v>50</v>
      </c>
      <c r="D7" s="3" t="inlineStr">
        <is>
          <t>230x3x22.2 | 9x1/8 | 9"</t>
        </is>
      </c>
      <c r="E7" s="4" t="n">
        <v>5.5</v>
      </c>
      <c r="F7">
        <f>E7*2</f>
        <v/>
      </c>
      <c r="G7">
        <f>F7*(1-30%)</f>
        <v/>
      </c>
    </row>
    <row r="8">
      <c r="A8" s="3" t="inlineStr">
        <is>
          <t>101144</t>
        </is>
      </c>
      <c r="B8" s="3" t="inlineStr">
        <is>
          <t>Gamal Sharid 9" Iron Cutting Disc</t>
        </is>
      </c>
      <c r="C8" s="3" t="n">
        <v>40</v>
      </c>
      <c r="D8" s="3" t="inlineStr">
        <is>
          <t>230x1.9x22.2 | 9x1.9 | Thin 9"</t>
        </is>
      </c>
      <c r="E8" s="4" t="n">
        <v>7</v>
      </c>
      <c r="F8">
        <f>E8*2</f>
        <v/>
      </c>
      <c r="G8">
        <f>F8*(1-30%)</f>
        <v/>
      </c>
    </row>
    <row r="9">
      <c r="A9" s="3" t="inlineStr">
        <is>
          <t>100066</t>
        </is>
      </c>
      <c r="B9" s="3" t="inlineStr">
        <is>
          <t>Iron/Steel Grinding Disc</t>
        </is>
      </c>
      <c r="C9" s="3" t="n">
        <v>25</v>
      </c>
      <c r="D9" s="3" t="inlineStr">
        <is>
          <t>230x6.5x22.2 | 9x1/4 | 9"</t>
        </is>
      </c>
      <c r="E9" s="4" t="n">
        <v>12</v>
      </c>
      <c r="F9">
        <f>E9*2</f>
        <v/>
      </c>
      <c r="G9">
        <f>F9*(1-30%)</f>
        <v/>
      </c>
    </row>
    <row r="10">
      <c r="A10" s="3" t="inlineStr">
        <is>
          <t>100065</t>
        </is>
      </c>
      <c r="B10" s="3" t="inlineStr">
        <is>
          <t>Iron/Steel Grinding Disc</t>
        </is>
      </c>
      <c r="C10" s="3" t="n">
        <v>25</v>
      </c>
      <c r="D10" s="3" t="inlineStr">
        <is>
          <t>180x6.5x22.2 | 7x1/4 | 7"</t>
        </is>
      </c>
      <c r="E10" s="4" t="n">
        <v>5</v>
      </c>
      <c r="F10">
        <f>E10*2</f>
        <v/>
      </c>
      <c r="G10">
        <f>F10*(1-30%)</f>
        <v/>
      </c>
    </row>
    <row r="11">
      <c r="A11" s="3" t="inlineStr">
        <is>
          <t>100064</t>
        </is>
      </c>
      <c r="B11" s="3" t="inlineStr">
        <is>
          <t>Iron/Steel Grinding Disc</t>
        </is>
      </c>
      <c r="C11" s="3" t="n">
        <v>50</v>
      </c>
      <c r="D11" s="3" t="inlineStr">
        <is>
          <t>115x6.0x22.2 | 4.5x1/4 | 4.5"</t>
        </is>
      </c>
      <c r="E11" s="4" t="n">
        <v>4.5</v>
      </c>
      <c r="F11">
        <f>E11*2</f>
        <v/>
      </c>
      <c r="G11">
        <f>F11*(1-30%)</f>
        <v/>
      </c>
    </row>
    <row r="12">
      <c r="A12" s="3" t="inlineStr">
        <is>
          <t>100092</t>
        </is>
      </c>
      <c r="B12" s="3" t="inlineStr">
        <is>
          <t>Gamal Sharid 4.5" Cutting Disc</t>
        </is>
      </c>
      <c r="C12" s="3" t="n">
        <v>100</v>
      </c>
      <c r="D12" s="3" t="inlineStr">
        <is>
          <t>115x3.2x22.2 | 4.5x1/8 | 4.5"</t>
        </is>
      </c>
      <c r="E12" s="4" t="n">
        <v>3</v>
      </c>
      <c r="F12">
        <f>E12*2</f>
        <v/>
      </c>
      <c r="G12">
        <f>F12*(1-30%)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C10" sqref="C10"/>
    </sheetView>
  </sheetViews>
  <sheetFormatPr baseColWidth="8" defaultColWidth="34.26953125" defaultRowHeight="14.5" outlineLevelCol="0"/>
  <cols>
    <col width="22.1796875" bestFit="1" customWidth="1" min="1" max="1"/>
    <col width="26.453125" bestFit="1" customWidth="1" min="2" max="2"/>
    <col width="11.54296875" bestFit="1" customWidth="1" min="3" max="3"/>
    <col width="4.81640625" bestFit="1" customWidth="1" min="4" max="4"/>
    <col width="32.7265625" bestFit="1" customWidth="1" min="5" max="5"/>
    <col width="4.81640625" bestFit="1" customWidth="1" min="6" max="6"/>
    <col width="9.26953125" bestFit="1" customWidth="1" min="7" max="7"/>
    <col width="9.7265625" bestFit="1" customWidth="1" min="8" max="8"/>
  </cols>
  <sheetData>
    <row r="1" ht="16.5" customHeight="1">
      <c r="A1" s="1" t="inlineStr">
        <is>
          <t>Polishing and Sanding</t>
        </is>
      </c>
      <c r="B1" s="1" t="n"/>
      <c r="C1" s="1" t="n"/>
      <c r="D1" s="1" t="n"/>
      <c r="E1" s="1" t="n"/>
      <c r="F1" s="1" t="n"/>
    </row>
    <row r="2">
      <c r="A2" s="2" t="inlineStr">
        <is>
          <t>SKU</t>
        </is>
      </c>
      <c r="B2" s="2" t="inlineStr">
        <is>
          <t>Product Name</t>
        </is>
      </c>
      <c r="C2" s="2" t="inlineStr">
        <is>
          <t>Qty per Carton</t>
        </is>
      </c>
      <c r="D2" s="2" t="inlineStr">
        <is>
          <t>Grit</t>
        </is>
      </c>
      <c r="E2" s="2" t="inlineStr">
        <is>
          <t>Color/Weight</t>
        </is>
      </c>
      <c r="F2" s="2" t="inlineStr">
        <is>
          <t>Price</t>
        </is>
      </c>
      <c r="G2" s="2" t="inlineStr">
        <is>
          <t>Customer Price</t>
        </is>
      </c>
      <c r="H2" s="2" t="inlineStr">
        <is>
          <t>Contractor Price</t>
        </is>
      </c>
    </row>
    <row r="3">
      <c r="A3" s="3" t="inlineStr">
        <is>
          <t>102363</t>
        </is>
      </c>
      <c r="B3" s="3" t="inlineStr">
        <is>
          <t>Multi-Layer Flap Disc (High Density)</t>
        </is>
      </c>
      <c r="C3" s="3" t="n">
        <v>10</v>
      </c>
      <c r="D3" s="3" t="inlineStr">
        <is>
          <t>#40</t>
        </is>
      </c>
      <c r="E3" s="3" t="inlineStr">
        <is>
          <t xml:space="preserve"> | 4.5" | Made from zirconia material</t>
        </is>
      </c>
      <c r="F3" s="4" t="n">
        <v>4</v>
      </c>
      <c r="G3" t="n">
        <v>10</v>
      </c>
      <c r="H3" s="3" t="n">
        <v>6</v>
      </c>
    </row>
    <row r="4">
      <c r="A4" s="3" t="inlineStr">
        <is>
          <t>102364</t>
        </is>
      </c>
      <c r="B4" s="3" t="inlineStr">
        <is>
          <t>Multi-Layer Flap Disc (High Density)</t>
        </is>
      </c>
      <c r="C4" s="3" t="n">
        <v>10</v>
      </c>
      <c r="D4" s="3" t="inlineStr">
        <is>
          <t>#60</t>
        </is>
      </c>
      <c r="E4" s="3" t="inlineStr">
        <is>
          <t xml:space="preserve"> | 4.5" | Made from zirconia material</t>
        </is>
      </c>
      <c r="F4" s="4" t="n">
        <v>3</v>
      </c>
      <c r="G4" t="n">
        <v>7</v>
      </c>
      <c r="H4" s="3" t="n">
        <v>5</v>
      </c>
    </row>
    <row r="5">
      <c r="A5" s="3" t="inlineStr">
        <is>
          <t>102365</t>
        </is>
      </c>
      <c r="B5" s="3" t="inlineStr">
        <is>
          <t>Multi-Layer Flap Disc (High Density)</t>
        </is>
      </c>
      <c r="C5" s="3" t="n">
        <v>10</v>
      </c>
      <c r="D5" s="3" t="inlineStr">
        <is>
          <t xml:space="preserve"> #80</t>
        </is>
      </c>
      <c r="E5" s="3" t="inlineStr">
        <is>
          <t xml:space="preserve"> | 4.5" | Made from zirconia material</t>
        </is>
      </c>
      <c r="F5" s="4" t="n">
        <v>3</v>
      </c>
      <c r="G5" t="n">
        <v>7</v>
      </c>
      <c r="H5" s="3" t="n">
        <v>5</v>
      </c>
    </row>
    <row r="6">
      <c r="A6" s="3" t="inlineStr">
        <is>
          <t>102366</t>
        </is>
      </c>
      <c r="B6" s="3" t="inlineStr">
        <is>
          <t>Multi-Layer Flap Disc (High Density)</t>
        </is>
      </c>
      <c r="C6" s="3" t="n">
        <v>10</v>
      </c>
      <c r="D6" s="3" t="inlineStr">
        <is>
          <t xml:space="preserve">#100 </t>
        </is>
      </c>
      <c r="E6" s="3" t="inlineStr">
        <is>
          <t>| 4.5" | Made from zirconia material</t>
        </is>
      </c>
      <c r="F6" s="4" t="n">
        <v>3</v>
      </c>
      <c r="G6" t="n">
        <v>7</v>
      </c>
      <c r="H6" s="3" t="n">
        <v>5</v>
      </c>
    </row>
    <row r="7">
      <c r="A7" s="3" t="inlineStr">
        <is>
          <t>100093</t>
        </is>
      </c>
      <c r="B7" s="3" t="inlineStr">
        <is>
          <t>Multi-Layer Flap Disc (High Density)</t>
        </is>
      </c>
      <c r="C7" s="3" t="n">
        <v>10</v>
      </c>
      <c r="D7" s="3" t="inlineStr">
        <is>
          <t>#120</t>
        </is>
      </c>
      <c r="E7" s="3" t="inlineStr">
        <is>
          <t xml:space="preserve"> | 4.5" | Made from zirconia material</t>
        </is>
      </c>
      <c r="F7" s="4" t="n">
        <v>3</v>
      </c>
      <c r="G7" t="n">
        <v>7</v>
      </c>
      <c r="H7" s="3" t="n">
        <v>5</v>
      </c>
    </row>
    <row r="8" ht="58" customHeight="1">
      <c r="A8" s="3" t="inlineStr">
        <is>
          <t>102288</t>
        </is>
      </c>
      <c r="B8" s="3" t="inlineStr">
        <is>
          <t>4.5" Fiber Sanding Paper</t>
        </is>
      </c>
      <c r="C8" s="3" t="n">
        <v>25</v>
      </c>
      <c r="D8" s="3" t="inlineStr">
        <is>
          <t>#40</t>
        </is>
      </c>
      <c r="E8" s="3" t="inlineStr">
        <is>
          <t xml:space="preserve"> 4.5" | Stainless steel, iron &amp; steel, wood - (blue) alumina/zirconia | Stone, granite, marble, concrete - (black) silicon carbide</t>
        </is>
      </c>
      <c r="F8" s="4" t="n">
        <v>1.5</v>
      </c>
      <c r="G8" t="n">
        <v>3</v>
      </c>
      <c r="H8" s="3" t="n">
        <v>2</v>
      </c>
    </row>
    <row r="9" ht="43.5" customHeight="1">
      <c r="A9" s="3" t="inlineStr">
        <is>
          <t>102289</t>
        </is>
      </c>
      <c r="B9" s="3" t="inlineStr">
        <is>
          <t>4.5" Fiber Sanding Paper</t>
        </is>
      </c>
      <c r="C9" s="3" t="n">
        <v>25</v>
      </c>
      <c r="D9" s="3" t="inlineStr">
        <is>
          <t>#60</t>
        </is>
      </c>
      <c r="E9" s="3" t="inlineStr">
        <is>
          <t>4.5" | Stainless steel, iron &amp; steel, wood - (blue) alumina/zirconia | Stone, granite, marble, concrete - (black) silicon carbide</t>
        </is>
      </c>
      <c r="F9" s="4" t="n">
        <v>1.4</v>
      </c>
      <c r="G9" t="n">
        <v>3</v>
      </c>
      <c r="H9" s="3" t="n">
        <v>2</v>
      </c>
    </row>
    <row r="10" ht="43.5" customHeight="1">
      <c r="A10" s="3" t="inlineStr">
        <is>
          <t>102290</t>
        </is>
      </c>
      <c r="B10" s="3" t="inlineStr">
        <is>
          <t>4.5" Fiber Sanding Paper</t>
        </is>
      </c>
      <c r="C10" s="3" t="n">
        <v>25</v>
      </c>
      <c r="D10" s="3" t="inlineStr">
        <is>
          <t xml:space="preserve"> #80</t>
        </is>
      </c>
      <c r="E10" s="3" t="inlineStr">
        <is>
          <t>4.5" | Stainless steel, iron &amp; steel, wood - (blue) alumina/zirconia | Stone, granite, marble, concrete - (black) silicon carbide</t>
        </is>
      </c>
      <c r="F10" s="4" t="n">
        <v>1.4</v>
      </c>
      <c r="G10" t="n">
        <v>3</v>
      </c>
      <c r="H10" s="3" t="n">
        <v>2</v>
      </c>
    </row>
    <row r="11" ht="58" customHeight="1">
      <c r="A11" s="3" t="inlineStr">
        <is>
          <t>102291</t>
        </is>
      </c>
      <c r="B11" s="3" t="inlineStr">
        <is>
          <t>4.5" Fiber Sanding Paper</t>
        </is>
      </c>
      <c r="C11" s="3" t="n">
        <v>25</v>
      </c>
      <c r="D11" s="3" t="inlineStr">
        <is>
          <t xml:space="preserve">#100 </t>
        </is>
      </c>
      <c r="E11" s="3" t="inlineStr">
        <is>
          <t xml:space="preserve"> 4.5" | Stainless steel, iron &amp; steel, wood - (blue) alumina/zirconia | Stone, granite, marble, concrete - (black) silicon carbide</t>
        </is>
      </c>
      <c r="F11" s="4" t="n">
        <v>1.4</v>
      </c>
      <c r="G11" t="n">
        <v>3</v>
      </c>
      <c r="H11" s="3" t="n">
        <v>2</v>
      </c>
    </row>
    <row r="12">
      <c r="D12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C13" sqref="C13"/>
    </sheetView>
  </sheetViews>
  <sheetFormatPr baseColWidth="8" defaultColWidth="23.36328125" defaultRowHeight="14.5" outlineLevelCol="0"/>
  <cols>
    <col width="21.6328125" bestFit="1" customWidth="1" min="1" max="1"/>
    <col width="23.26953125" bestFit="1" customWidth="1" min="2" max="2"/>
    <col width="11.54296875" bestFit="1" customWidth="1" min="3" max="3"/>
    <col width="19.453125" bestFit="1" customWidth="1" min="4" max="4"/>
    <col width="5.36328125" bestFit="1" customWidth="1" min="5" max="5"/>
    <col width="9.26953125" bestFit="1" customWidth="1" min="6" max="6"/>
    <col width="9.7265625" bestFit="1" customWidth="1" min="7" max="7"/>
  </cols>
  <sheetData>
    <row r="1" ht="16.5" customHeight="1">
      <c r="A1" s="1" t="inlineStr">
        <is>
          <t>Ceramics and Tiling</t>
        </is>
      </c>
      <c r="B1" s="1" t="n"/>
      <c r="C1" s="1" t="n"/>
      <c r="D1" s="1" t="n"/>
    </row>
    <row r="2">
      <c r="A2" s="2" t="inlineStr">
        <is>
          <t>SKU</t>
        </is>
      </c>
      <c r="B2" s="2" t="inlineStr">
        <is>
          <t>Product Name</t>
        </is>
      </c>
      <c r="C2" s="2" t="inlineStr">
        <is>
          <t>Qty per Carton</t>
        </is>
      </c>
      <c r="D2" s="2" t="inlineStr">
        <is>
          <t>Color/Weight</t>
        </is>
      </c>
      <c r="E2" s="2" t="inlineStr">
        <is>
          <t>Price</t>
        </is>
      </c>
      <c r="F2" s="2" t="inlineStr">
        <is>
          <t>Customer Price</t>
        </is>
      </c>
      <c r="G2" s="2" t="inlineStr">
        <is>
          <t>Contractor Price</t>
        </is>
      </c>
    </row>
    <row r="3">
      <c r="A3" s="3" t="inlineStr">
        <is>
          <t>104110</t>
        </is>
      </c>
      <c r="B3" s="3" t="inlineStr">
        <is>
          <t>KERACOLOR FF - Premium Grout</t>
        </is>
      </c>
      <c r="C3" s="3" t="n">
        <v>4</v>
      </c>
      <c r="D3" s="3" t="inlineStr">
        <is>
          <t xml:space="preserve"> 5 kg | White | 100</t>
        </is>
      </c>
      <c r="E3" s="4" t="n">
        <v>43</v>
      </c>
      <c r="F3" t="n">
        <v>80</v>
      </c>
      <c r="G3" s="3" t="n">
        <v>70</v>
      </c>
    </row>
    <row r="4">
      <c r="A4" s="3" t="inlineStr">
        <is>
          <t>104111</t>
        </is>
      </c>
      <c r="B4" s="3" t="inlineStr">
        <is>
          <t>KERACOLOR FF - Premium Grout</t>
        </is>
      </c>
      <c r="C4" s="3" t="n">
        <v>4</v>
      </c>
      <c r="D4" s="3" t="inlineStr">
        <is>
          <t>5 kg | Jericho White | 103</t>
        </is>
      </c>
      <c r="E4" s="4" t="n">
        <v>43</v>
      </c>
      <c r="F4" t="n">
        <v>80</v>
      </c>
      <c r="G4" s="3" t="n">
        <v>70</v>
      </c>
    </row>
    <row r="5">
      <c r="A5" s="3" t="inlineStr">
        <is>
          <t>104112</t>
        </is>
      </c>
      <c r="B5" s="3" t="inlineStr">
        <is>
          <t>KERACOLOR FF - Premium Grout</t>
        </is>
      </c>
      <c r="C5" s="3" t="n">
        <v>4</v>
      </c>
      <c r="D5" s="3" t="inlineStr">
        <is>
          <t>5 kg | Manhattan | 110</t>
        </is>
      </c>
      <c r="E5" s="4" t="n">
        <v>43</v>
      </c>
      <c r="F5" t="n">
        <v>80</v>
      </c>
      <c r="G5" s="3" t="n">
        <v>70</v>
      </c>
    </row>
    <row r="6">
      <c r="A6" s="3" t="inlineStr">
        <is>
          <t>104113</t>
        </is>
      </c>
      <c r="B6" s="3" t="inlineStr">
        <is>
          <t>KERACOLOR FF - Premium Grout</t>
        </is>
      </c>
      <c r="C6" s="3" t="n">
        <v>4</v>
      </c>
      <c r="D6" s="3" t="inlineStr">
        <is>
          <t xml:space="preserve"> 5 kg | Silver | 111</t>
        </is>
      </c>
      <c r="E6" s="4" t="n">
        <v>43</v>
      </c>
      <c r="F6" t="n">
        <v>80</v>
      </c>
      <c r="G6" s="3" t="n">
        <v>70</v>
      </c>
    </row>
    <row r="7">
      <c r="A7" s="3" t="inlineStr">
        <is>
          <t>104114</t>
        </is>
      </c>
      <c r="B7" s="3" t="inlineStr">
        <is>
          <t>KERACOLOR FF - Premium Grout</t>
        </is>
      </c>
      <c r="C7" s="3" t="n">
        <v>4</v>
      </c>
      <c r="D7" s="3" t="inlineStr">
        <is>
          <t xml:space="preserve"> 5 kg | Medium Gray | 112</t>
        </is>
      </c>
      <c r="E7" s="4" t="n">
        <v>43</v>
      </c>
      <c r="F7" t="n">
        <v>80</v>
      </c>
      <c r="G7" s="3" t="n">
        <v>70</v>
      </c>
    </row>
    <row r="8">
      <c r="A8" s="3" t="inlineStr">
        <is>
          <t>104115</t>
        </is>
      </c>
      <c r="B8" s="3" t="inlineStr">
        <is>
          <t>KERACOLOR FF - Premium Grout</t>
        </is>
      </c>
      <c r="C8" s="3" t="n">
        <v>4</v>
      </c>
      <c r="D8" s="3" t="inlineStr">
        <is>
          <t xml:space="preserve"> 5 kg | Concrete Gray | 113</t>
        </is>
      </c>
      <c r="E8" s="4" t="n">
        <v>43</v>
      </c>
      <c r="F8" t="n">
        <v>80</v>
      </c>
      <c r="G8" s="3" t="n">
        <v>70</v>
      </c>
    </row>
    <row r="9">
      <c r="A9" s="3" t="inlineStr">
        <is>
          <t>104220</t>
        </is>
      </c>
      <c r="B9" s="3" t="inlineStr">
        <is>
          <t>KERACOLOR FF - Premium Grout</t>
        </is>
      </c>
      <c r="C9" s="3" t="n">
        <v>4</v>
      </c>
      <c r="D9" s="3" t="inlineStr">
        <is>
          <t xml:space="preserve"> 5 kg | Charcoal | 114</t>
        </is>
      </c>
      <c r="E9" s="4" t="n">
        <v>43</v>
      </c>
      <c r="F9" t="n">
        <v>80</v>
      </c>
      <c r="G9" s="3" t="n">
        <v>70</v>
      </c>
    </row>
    <row r="10">
      <c r="A10" s="3" t="inlineStr">
        <is>
          <t>104116</t>
        </is>
      </c>
      <c r="B10" s="3" t="inlineStr">
        <is>
          <t>KERACOLOR FF - Premium Grout</t>
        </is>
      </c>
      <c r="C10" s="3" t="n">
        <v>4</v>
      </c>
      <c r="D10" s="3" t="inlineStr">
        <is>
          <t>5 kg | Jasmine | 130</t>
        </is>
      </c>
      <c r="E10" s="4" t="n">
        <v>43</v>
      </c>
      <c r="F10" t="n">
        <v>80</v>
      </c>
      <c r="G10" s="3" t="n">
        <v>70</v>
      </c>
    </row>
    <row r="11">
      <c r="A11" s="3" t="inlineStr">
        <is>
          <t>104201</t>
        </is>
      </c>
      <c r="B11" s="3" t="inlineStr">
        <is>
          <t>KERACOLOR FF - Premium Grout</t>
        </is>
      </c>
      <c r="C11" s="3" t="n">
        <v>4</v>
      </c>
      <c r="D11" s="3" t="inlineStr">
        <is>
          <t xml:space="preserve"> 5 kg | Vanilla | 131</t>
        </is>
      </c>
      <c r="E11" s="4" t="n">
        <v>43</v>
      </c>
      <c r="F11" t="n">
        <v>80</v>
      </c>
      <c r="G11" s="3" t="n">
        <v>70</v>
      </c>
    </row>
    <row r="12">
      <c r="A12" s="3" t="inlineStr">
        <is>
          <t>104117</t>
        </is>
      </c>
      <c r="B12" s="3" t="inlineStr">
        <is>
          <t>KERACOLOR FF - Premium Grout</t>
        </is>
      </c>
      <c r="C12" s="3" t="n">
        <v>4</v>
      </c>
      <c r="D12" s="3" t="inlineStr">
        <is>
          <t>5 kg | Beige | 132</t>
        </is>
      </c>
      <c r="E12" s="4" t="n">
        <v>43</v>
      </c>
      <c r="F12" t="n">
        <v>80</v>
      </c>
      <c r="G12" s="3" t="n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G13" sqref="G13"/>
    </sheetView>
  </sheetViews>
  <sheetFormatPr baseColWidth="8" defaultColWidth="36.1796875" defaultRowHeight="14.5" outlineLevelCol="0"/>
  <cols>
    <col width="5.453125" bestFit="1" customWidth="1" min="1" max="1"/>
    <col width="13.90625" bestFit="1" customWidth="1" min="2" max="2"/>
    <col width="11.81640625" bestFit="1" customWidth="1" min="3" max="3"/>
    <col width="13.90625" bestFit="1" customWidth="1" min="4" max="4"/>
    <col width="4.81640625" bestFit="1" customWidth="1" min="5" max="5"/>
    <col width="9.26953125" bestFit="1" customWidth="1" min="6" max="6"/>
    <col width="9.7265625" bestFit="1" customWidth="1" min="7" max="7"/>
  </cols>
  <sheetData>
    <row r="1" ht="16.5" customHeight="1">
      <c r="A1" s="1" t="inlineStr">
        <is>
          <t>Plasterboard</t>
        </is>
      </c>
      <c r="B1" s="1" t="n"/>
      <c r="C1" s="1" t="n"/>
      <c r="D1" s="1" t="n"/>
    </row>
    <row r="2">
      <c r="A2" s="2" t="inlineStr">
        <is>
          <t>SKU</t>
        </is>
      </c>
      <c r="B2" s="2" t="inlineStr">
        <is>
          <t>Product Name</t>
        </is>
      </c>
      <c r="C2" s="2" t="inlineStr">
        <is>
          <t>Qty per Pallet</t>
        </is>
      </c>
      <c r="D2" s="2" t="inlineStr">
        <is>
          <t>Description/Weight</t>
        </is>
      </c>
      <c r="E2" s="2" t="inlineStr">
        <is>
          <t>Price</t>
        </is>
      </c>
      <c r="F2" s="2" t="inlineStr">
        <is>
          <t>Customer Price</t>
        </is>
      </c>
      <c r="G2" s="2" t="inlineStr">
        <is>
          <t>Contractor Price</t>
        </is>
      </c>
    </row>
    <row r="3">
      <c r="A3" s="3" t="n"/>
      <c r="B3" s="3" t="inlineStr">
        <is>
          <t>White Plasterboard</t>
        </is>
      </c>
      <c r="C3" s="3" t="n">
        <v>60</v>
      </c>
      <c r="D3" s="3" t="inlineStr">
        <is>
          <t>White Plasterboard</t>
        </is>
      </c>
      <c r="E3" t="n">
        <v>39</v>
      </c>
      <c r="F3" t="n">
        <v>55</v>
      </c>
      <c r="G3" s="3" t="n">
        <v>48</v>
      </c>
    </row>
    <row r="4">
      <c r="A4" s="3" t="n"/>
      <c r="B4" s="3" t="inlineStr">
        <is>
          <t>Green Plasterboard</t>
        </is>
      </c>
      <c r="C4" s="3" t="n">
        <v>60</v>
      </c>
      <c r="D4" s="3" t="inlineStr">
        <is>
          <t>Green Plasterboard</t>
        </is>
      </c>
      <c r="E4" t="n">
        <v>44</v>
      </c>
      <c r="F4" t="n">
        <v>65</v>
      </c>
      <c r="G4" s="3" t="n">
        <v>58</v>
      </c>
    </row>
    <row r="5">
      <c r="A5" s="3" t="n"/>
      <c r="B5" s="3" t="inlineStr">
        <is>
          <t>Blue Plasterboard (Exterior)</t>
        </is>
      </c>
      <c r="C5" s="3" t="n">
        <v>60</v>
      </c>
      <c r="D5" s="3" t="inlineStr">
        <is>
          <t>Blue Plasterboard (Exterior)</t>
        </is>
      </c>
      <c r="E5" t="n">
        <v>91</v>
      </c>
      <c r="F5" t="n">
        <v>140</v>
      </c>
      <c r="G5" s="3" t="n">
        <v>125</v>
      </c>
    </row>
    <row r="6">
      <c r="A6" s="3" t="n"/>
      <c r="B6" s="3" t="inlineStr">
        <is>
          <t>Pink Plasterboard</t>
        </is>
      </c>
      <c r="C6" s="3" t="n">
        <v>60</v>
      </c>
      <c r="D6" s="3" t="inlineStr">
        <is>
          <t>Pink Plasterboard</t>
        </is>
      </c>
      <c r="E6" t="n">
        <v>44</v>
      </c>
      <c r="F6" t="n">
        <v>65</v>
      </c>
      <c r="G6" s="3" t="n">
        <v>58</v>
      </c>
    </row>
    <row r="7">
      <c r="A7" s="3" t="n"/>
      <c r="B7" s="3" t="inlineStr">
        <is>
          <t>Stud 5</t>
        </is>
      </c>
      <c r="C7" s="3" t="n"/>
      <c r="D7" s="4" t="n"/>
    </row>
    <row r="8">
      <c r="A8" s="3" t="n"/>
      <c r="B8" s="3" t="inlineStr">
        <is>
          <t>Track 5</t>
        </is>
      </c>
      <c r="C8" s="3" t="n"/>
      <c r="D8" s="4" t="n"/>
    </row>
    <row r="9">
      <c r="A9" s="3" t="n"/>
      <c r="B9" s="3" t="inlineStr">
        <is>
          <t>Stud 7</t>
        </is>
      </c>
      <c r="C9" s="3" t="n"/>
      <c r="D9" s="4" t="n"/>
    </row>
    <row r="10">
      <c r="A10" s="3" t="n"/>
      <c r="B10" s="3" t="inlineStr">
        <is>
          <t>Track 7</t>
        </is>
      </c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K16" sqref="K16"/>
    </sheetView>
  </sheetViews>
  <sheetFormatPr baseColWidth="8" defaultRowHeight="14.5" outlineLevelCol="0"/>
  <cols>
    <col width="5.453125" bestFit="1" customWidth="1" min="1" max="1"/>
    <col width="9.08984375" bestFit="1" customWidth="1" min="2" max="2"/>
    <col width="11.81640625" bestFit="1" customWidth="1" min="3" max="3"/>
    <col width="13.6328125" bestFit="1" customWidth="1" min="4" max="4"/>
    <col width="4.81640625" bestFit="1" customWidth="1" min="5" max="5"/>
    <col width="9.26953125" bestFit="1" customWidth="1" min="6" max="6"/>
    <col width="9.7265625" bestFit="1" customWidth="1" min="7" max="7"/>
  </cols>
  <sheetData>
    <row r="1" ht="16.5" customHeight="1">
      <c r="A1" s="1" t="inlineStr">
        <is>
          <t>Plasterboard</t>
        </is>
      </c>
      <c r="B1" s="1" t="n"/>
      <c r="C1" s="1" t="n"/>
      <c r="D1" s="1" t="n"/>
    </row>
    <row r="2">
      <c r="A2" s="2" t="inlineStr">
        <is>
          <t>SKU</t>
        </is>
      </c>
      <c r="B2" s="2" t="inlineStr">
        <is>
          <t>Product Name</t>
        </is>
      </c>
      <c r="C2" s="2" t="inlineStr">
        <is>
          <t>Qty per Pallet</t>
        </is>
      </c>
      <c r="D2" s="2" t="inlineStr">
        <is>
          <t>Description/Weight</t>
        </is>
      </c>
      <c r="E2" s="2" t="inlineStr">
        <is>
          <t>Price</t>
        </is>
      </c>
      <c r="F2" s="2" t="inlineStr">
        <is>
          <t>Customer Price</t>
        </is>
      </c>
      <c r="G2" s="2" t="inlineStr">
        <is>
          <t>Contractor Price</t>
        </is>
      </c>
    </row>
    <row r="3">
      <c r="B3" t="inlineStr">
        <is>
          <t>Tile Adhesive 116</t>
        </is>
      </c>
      <c r="C3" t="n">
        <v>80</v>
      </c>
      <c r="D3" t="inlineStr">
        <is>
          <t>White Tile Adhesive</t>
        </is>
      </c>
      <c r="E3" t="n">
        <v>40.5</v>
      </c>
      <c r="F3" t="n">
        <v>65</v>
      </c>
      <c r="G3" t="n">
        <v>60</v>
      </c>
    </row>
    <row r="4">
      <c r="B4" t="inlineStr">
        <is>
          <t>White Cement</t>
        </is>
      </c>
      <c r="C4" t="n">
        <v>80</v>
      </c>
      <c r="D4" t="inlineStr">
        <is>
          <t>White Cement</t>
        </is>
      </c>
      <c r="E4" t="n">
        <v>24</v>
      </c>
      <c r="F4" t="n">
        <v>30</v>
      </c>
      <c r="G4" t="n">
        <v>28</v>
      </c>
    </row>
    <row r="5">
      <c r="B5" t="inlineStr">
        <is>
          <t>Black Cement</t>
        </is>
      </c>
      <c r="C5" t="n">
        <v>80</v>
      </c>
      <c r="D5" t="inlineStr">
        <is>
          <t>Black Cement</t>
        </is>
      </c>
      <c r="E5" t="n">
        <v>13</v>
      </c>
      <c r="F5" t="n">
        <v>20</v>
      </c>
      <c r="G5" t="n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H11" sqref="H11"/>
    </sheetView>
  </sheetViews>
  <sheetFormatPr baseColWidth="8" defaultColWidth="33.81640625" defaultRowHeight="14.5" outlineLevelCol="0"/>
  <cols>
    <col width="11.26953125" bestFit="1" customWidth="1" min="1" max="1"/>
    <col width="9.453125" bestFit="1" customWidth="1" min="2" max="2"/>
    <col width="11.81640625" bestFit="1" customWidth="1" min="3" max="3"/>
    <col width="34.08984375" bestFit="1" customWidth="1" min="4" max="4"/>
    <col width="4.81640625" bestFit="1" customWidth="1" min="5" max="5"/>
    <col width="9.26953125" bestFit="1" customWidth="1" min="6" max="6"/>
    <col width="9.7265625" bestFit="1" customWidth="1" min="7" max="7"/>
  </cols>
  <sheetData>
    <row r="1" ht="16.5" customHeight="1">
      <c r="A1" s="1" t="inlineStr">
        <is>
          <t>Other - General</t>
        </is>
      </c>
      <c r="B1" s="1" t="n"/>
      <c r="C1" s="1" t="n"/>
      <c r="D1" s="1" t="inlineStr">
        <is>
          <t>Price per kg in 5 kg packages</t>
        </is>
      </c>
    </row>
    <row r="2">
      <c r="A2" s="2" t="inlineStr">
        <is>
          <t>SKU</t>
        </is>
      </c>
      <c r="B2" s="2" t="inlineStr">
        <is>
          <t>Product Name</t>
        </is>
      </c>
      <c r="C2" s="2" t="inlineStr">
        <is>
          <t>Qty per Package</t>
        </is>
      </c>
      <c r="D2" s="2" t="inlineStr">
        <is>
          <t>Description/Weight</t>
        </is>
      </c>
      <c r="E2" s="2" t="inlineStr">
        <is>
          <t>Price</t>
        </is>
      </c>
      <c r="F2" s="2" t="inlineStr">
        <is>
          <t>Customer Price</t>
        </is>
      </c>
      <c r="G2" s="2" t="inlineStr">
        <is>
          <t>Contractor Price</t>
        </is>
      </c>
    </row>
    <row r="3">
      <c r="A3" s="3" t="n"/>
      <c r="B3" s="3" t="inlineStr">
        <is>
          <t>Twisted Wire</t>
        </is>
      </c>
      <c r="C3" s="3" t="inlineStr">
        <is>
          <t>5 Kg</t>
        </is>
      </c>
      <c r="D3" s="4" t="inlineStr">
        <is>
          <t>5 kg Package</t>
        </is>
      </c>
      <c r="E3" t="n">
        <v>15</v>
      </c>
      <c r="F3" t="n">
        <v>25</v>
      </c>
      <c r="G3" t="n">
        <v>18.5</v>
      </c>
    </row>
    <row r="4">
      <c r="A4" s="3" t="n"/>
      <c r="B4" s="3" t="inlineStr">
        <is>
          <t>Twisted Wire</t>
        </is>
      </c>
      <c r="C4" s="3" t="inlineStr">
        <is>
          <t>25 Kg</t>
        </is>
      </c>
      <c r="D4" s="4" t="inlineStr">
        <is>
          <t>Full Package</t>
        </is>
      </c>
      <c r="E4" t="n">
        <v>75</v>
      </c>
      <c r="F4" t="n">
        <v>125</v>
      </c>
      <c r="G4" t="n">
        <v>92.5</v>
      </c>
    </row>
    <row r="5">
      <c r="A5" s="3" t="n"/>
      <c r="B5" s="3" t="inlineStr">
        <is>
          <t>Binding Wire</t>
        </is>
      </c>
      <c r="C5" s="3" t="inlineStr">
        <is>
          <t>5 Kg</t>
        </is>
      </c>
      <c r="D5" s="4" t="inlineStr">
        <is>
          <t>5 kg Package</t>
        </is>
      </c>
      <c r="E5" t="n">
        <v>15</v>
      </c>
      <c r="F5" t="n">
        <v>25</v>
      </c>
      <c r="G5" t="n">
        <v>18.5</v>
      </c>
    </row>
    <row r="6">
      <c r="A6" s="3" t="n"/>
      <c r="B6" s="3" t="inlineStr">
        <is>
          <t>Binding Wire</t>
        </is>
      </c>
      <c r="C6" s="3" t="inlineStr">
        <is>
          <t>25 Kg</t>
        </is>
      </c>
      <c r="D6" s="4" t="inlineStr">
        <is>
          <t>Full Package</t>
        </is>
      </c>
      <c r="E6" t="n">
        <v>75</v>
      </c>
      <c r="F6" t="n">
        <v>125</v>
      </c>
      <c r="G6" t="n">
        <v>92.5</v>
      </c>
    </row>
    <row r="7">
      <c r="A7" s="3" t="n"/>
      <c r="B7" s="3" t="inlineStr">
        <is>
          <t>Nail 6</t>
        </is>
      </c>
      <c r="C7" s="3" t="inlineStr">
        <is>
          <t>5 Kg</t>
        </is>
      </c>
      <c r="D7" s="4" t="inlineStr">
        <is>
          <t>5 kg Pack</t>
        </is>
      </c>
      <c r="E7" t="n">
        <v>15</v>
      </c>
      <c r="F7" t="n">
        <v>25</v>
      </c>
      <c r="G7" t="n">
        <v>20</v>
      </c>
    </row>
    <row r="8">
      <c r="A8" s="3" t="n"/>
      <c r="B8" s="3" t="inlineStr">
        <is>
          <t>Nail 10</t>
        </is>
      </c>
      <c r="C8" s="3" t="inlineStr">
        <is>
          <t>5 Kg</t>
        </is>
      </c>
      <c r="D8" s="4" t="inlineStr">
        <is>
          <t>5 kg Pack</t>
        </is>
      </c>
      <c r="E8" t="n">
        <v>15</v>
      </c>
      <c r="F8" t="n">
        <v>25</v>
      </c>
      <c r="G8" t="n">
        <v>20</v>
      </c>
    </row>
    <row r="9">
      <c r="A9" s="3" t="n"/>
      <c r="B9" s="3" t="inlineStr">
        <is>
          <t>Don Quixote</t>
        </is>
      </c>
      <c r="C9" s="3" t="n">
        <v>1</v>
      </c>
      <c r="D9" s="4" t="inlineStr">
        <is>
          <t>1 Unit Pack</t>
        </is>
      </c>
      <c r="E9" t="n">
        <v>7</v>
      </c>
      <c r="F9" t="n">
        <v>15</v>
      </c>
      <c r="G9" t="inlineStr">
        <is>
          <t>X</t>
        </is>
      </c>
    </row>
    <row r="10">
      <c r="A10" s="3" t="n"/>
      <c r="B10" s="3" t="inlineStr">
        <is>
          <t>Don Quixote</t>
        </is>
      </c>
      <c r="C10" s="3" t="n">
        <v>12</v>
      </c>
      <c r="D10" s="4" t="inlineStr">
        <is>
          <t>12 Unit Package</t>
        </is>
      </c>
      <c r="E10" t="n">
        <v>84</v>
      </c>
      <c r="F10" t="n">
        <v>150</v>
      </c>
      <c r="G10" t="n">
        <v>130</v>
      </c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Adham Ighbariah</dc:creator>
  <dcterms:created xsi:type="dcterms:W3CDTF">2026-04-26T15:42:20Z</dcterms:created>
  <dcterms:modified xsi:type="dcterms:W3CDTF">2026-04-30T11:30:51Z</dcterms:modified>
  <cp:lastModifiedBy>Adham Ighbariah</cp:lastModifiedBy>
</cp:coreProperties>
</file>