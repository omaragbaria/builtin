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NEX\"/>
    </mc:Choice>
  </mc:AlternateContent>
  <xr:revisionPtr revIDLastSave="0" documentId="13_ncr:1_{42A7E46D-86D9-458D-B242-448F3132D92B}" xr6:coauthVersionLast="47" xr6:coauthVersionMax="47" xr10:uidLastSave="{00000000-0000-0000-0000-000000000000}"/>
  <bookViews>
    <workbookView xWindow="-110" yWindow="-110" windowWidth="19420" windowHeight="10300" xr2:uid="{B5F9DF60-EC04-4667-816D-433777177A92}"/>
  </bookViews>
  <sheets>
    <sheet name="חומרי איטום והדבקה" sheetId="1" r:id="rId1"/>
    <sheet name="צבעים, ספריי וניקוי" sheetId="2" r:id="rId2"/>
    <sheet name="דיסקי חיתוך והשחזה" sheetId="3" r:id="rId3"/>
    <sheet name="ליטוש, שיוף ומברשות" sheetId="4" r:id="rId4"/>
    <sheet name="קרמיקה, רובה וריצוף" sheetId="5" r:id="rId5"/>
    <sheet name="גבס" sheetId="6" r:id="rId6"/>
    <sheet name="מלט ודבקים(חומר שחור)" sheetId="9" r:id="rId7"/>
    <sheet name="ברזל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G6" i="2"/>
  <c r="G7" i="2"/>
  <c r="G8" i="2"/>
  <c r="G9" i="2"/>
  <c r="G10" i="2"/>
  <c r="G11" i="2"/>
  <c r="G12" i="2"/>
  <c r="G5" i="2"/>
</calcChain>
</file>

<file path=xl/sharedStrings.xml><?xml version="1.0" encoding="utf-8"?>
<sst xmlns="http://schemas.openxmlformats.org/spreadsheetml/2006/main" count="267" uniqueCount="159">
  <si>
    <t>חומרי איטום והדבקה</t>
  </si>
  <si>
    <t>מק"ט</t>
  </si>
  <si>
    <t>שם מוצר</t>
  </si>
  <si>
    <t>מחיר</t>
  </si>
  <si>
    <t>100010</t>
  </si>
  <si>
    <t>סופר 7</t>
  </si>
  <si>
    <t>12 | 290 ml | שקוף</t>
  </si>
  <si>
    <t>100533</t>
  </si>
  <si>
    <t>12 | 290 ml | לבן</t>
  </si>
  <si>
    <t>100210</t>
  </si>
  <si>
    <t>12 | 290 ml | פרגמון</t>
  </si>
  <si>
    <t>100211</t>
  </si>
  <si>
    <t>12 | 290 ml | שחור</t>
  </si>
  <si>
    <t>102950</t>
  </si>
  <si>
    <t>12 | 290 ml | אפור</t>
  </si>
  <si>
    <t>103394</t>
  </si>
  <si>
    <t>25 | 80 ml | שקוף</t>
  </si>
  <si>
    <t>103393</t>
  </si>
  <si>
    <t>25 | 80 ml | לבן</t>
  </si>
  <si>
    <t>103125</t>
  </si>
  <si>
    <t>סופר 8</t>
  </si>
  <si>
    <t>24 | 290 ml | לבן</t>
  </si>
  <si>
    <t>103126</t>
  </si>
  <si>
    <t>24 | 290 ml | שקוף</t>
  </si>
  <si>
    <t>100788</t>
  </si>
  <si>
    <t>סופר 10</t>
  </si>
  <si>
    <t>צבעים, ספריי וניקוי</t>
  </si>
  <si>
    <t>100480</t>
  </si>
  <si>
    <t>גריז</t>
  </si>
  <si>
    <t>102108</t>
  </si>
  <si>
    <t>101385</t>
  </si>
  <si>
    <t>ספריי גריז</t>
  </si>
  <si>
    <t>103283</t>
  </si>
  <si>
    <t>תרסיס מסיר מדבקות</t>
  </si>
  <si>
    <t>100167</t>
  </si>
  <si>
    <t>ספריי זפת</t>
  </si>
  <si>
    <t>100111</t>
  </si>
  <si>
    <t>ספריי חלודה</t>
  </si>
  <si>
    <t>100402</t>
  </si>
  <si>
    <t>ספריי חלודה אמירקן איגל</t>
  </si>
  <si>
    <t>103284</t>
  </si>
  <si>
    <t>WD40 תרסיס שמן</t>
  </si>
  <si>
    <t>103368</t>
  </si>
  <si>
    <t>100505</t>
  </si>
  <si>
    <t>ספריי אבץ גלוון קר</t>
  </si>
  <si>
    <t>דיסקי חיתוך והשחזה</t>
  </si>
  <si>
    <t>102451</t>
  </si>
  <si>
    <t>דיסק חיתוך ברזל</t>
  </si>
  <si>
    <t>102453</t>
  </si>
  <si>
    <t>102452</t>
  </si>
  <si>
    <t>102458</t>
  </si>
  <si>
    <t>100584</t>
  </si>
  <si>
    <t>גמל שריד9" דיסק חיתוך ברזל</t>
  </si>
  <si>
    <t>101144</t>
  </si>
  <si>
    <t>100066</t>
  </si>
  <si>
    <t>דיסק השחזת ברזל, פלדה</t>
  </si>
  <si>
    <t>100065</t>
  </si>
  <si>
    <t>100064</t>
  </si>
  <si>
    <t>100092</t>
  </si>
  <si>
    <t>גמל שריד4.5" דיסק חיתוך ברזל</t>
  </si>
  <si>
    <t>ליטוש, שיוף ומברשות</t>
  </si>
  <si>
    <t>102363</t>
  </si>
  <si>
    <t>)פלאפ רב שכבתי (צפיפות גבוהה</t>
  </si>
  <si>
    <t>102364</t>
  </si>
  <si>
    <t>102365</t>
  </si>
  <si>
    <t>102366</t>
  </si>
  <si>
    <t>100093</t>
  </si>
  <si>
    <t>102288</t>
  </si>
  <si>
    <t>4.5" פיבר נייר ליטוש</t>
  </si>
  <si>
    <t>102289</t>
  </si>
  <si>
    <t>102290</t>
  </si>
  <si>
    <t>102291</t>
  </si>
  <si>
    <t>קרמיקה, רובה וריצוף</t>
  </si>
  <si>
    <t>104110</t>
  </si>
  <si>
    <t>KERACOLOR FF - רובה מפאי</t>
  </si>
  <si>
    <t>104111</t>
  </si>
  <si>
    <t>104112</t>
  </si>
  <si>
    <t>104113</t>
  </si>
  <si>
    <t>104114</t>
  </si>
  <si>
    <t>104115</t>
  </si>
  <si>
    <t>104220</t>
  </si>
  <si>
    <t>104116</t>
  </si>
  <si>
    <t>104201</t>
  </si>
  <si>
    <t>104117</t>
  </si>
  <si>
    <t>גבס לבן</t>
  </si>
  <si>
    <t>אחר / כללי</t>
  </si>
  <si>
    <t>חוט שזור</t>
  </si>
  <si>
    <t>5 Kg</t>
  </si>
  <si>
    <t>25 Kg</t>
  </si>
  <si>
    <t>חוט קשירה</t>
  </si>
  <si>
    <t xml:space="preserve">מחיר לקוח </t>
  </si>
  <si>
    <t xml:space="preserve">מחיר קבלן </t>
  </si>
  <si>
    <t>X</t>
  </si>
  <si>
    <t xml:space="preserve">כמות בקרטון </t>
  </si>
  <si>
    <t>תיאור\משקל</t>
  </si>
  <si>
    <t>400 ml | תרמיל</t>
  </si>
  <si>
    <t>15 kg | פח</t>
  </si>
  <si>
    <t>400 ml</t>
  </si>
  <si>
    <t>300 ml</t>
  </si>
  <si>
    <t>600ml - 530 gr</t>
  </si>
  <si>
    <t>650 ml</t>
  </si>
  <si>
    <t>330 ml</t>
  </si>
  <si>
    <t>200 ml</t>
  </si>
  <si>
    <t>מחיר לקוח</t>
  </si>
  <si>
    <t>תיאור\קוטר</t>
  </si>
  <si>
    <t>230x3x22.2 | 9x1/8 | 9"</t>
  </si>
  <si>
    <t>115x3.2x22.2 | 4.5x1/8 | 4.5"</t>
  </si>
  <si>
    <t>115x1.6x22.2 | 4.5x1/16 | דק 4.5"</t>
  </si>
  <si>
    <t>350x3.0x25.4 | 14x1/8 | 14"</t>
  </si>
  <si>
    <t>230x1.9x22.2 | 9x1.9 | דק 9"</t>
  </si>
  <si>
    <t>230x6.5x22.2 | 9x1/4 | 9"</t>
  </si>
  <si>
    <t>180x6.5x22.2 | 7x1/4 | 7"</t>
  </si>
  <si>
    <t>115x6.0x22.2 | 4.5x1/4 | 4.5"</t>
  </si>
  <si>
    <t>גוון\משקל</t>
  </si>
  <si>
    <t xml:space="preserve"> 5 kg | לבן | 100</t>
  </si>
  <si>
    <t>5 kg | לבן יריח | 103</t>
  </si>
  <si>
    <t>5 kg | מנהטן | 110</t>
  </si>
  <si>
    <t xml:space="preserve"> 5 kg | כסף | 111</t>
  </si>
  <si>
    <t xml:space="preserve"> 5 kg | אפור בינוני | 112</t>
  </si>
  <si>
    <t xml:space="preserve"> 5 kg | אפור בטון | 113</t>
  </si>
  <si>
    <t xml:space="preserve"> 5 kg | פחם | 114</t>
  </si>
  <si>
    <t>5 kg | יסמין | 130</t>
  </si>
  <si>
    <t xml:space="preserve"> 5 kg | וניל | 131</t>
  </si>
  <si>
    <t>5 kg | 'ביג | 132</t>
  </si>
  <si>
    <t>גבס ירוק</t>
  </si>
  <si>
    <t>גבס כחול(חיצוני)</t>
  </si>
  <si>
    <t>גבס ורוד</t>
  </si>
  <si>
    <t>ניצב 5</t>
  </si>
  <si>
    <t>מסלול 5</t>
  </si>
  <si>
    <t>ניצב 7</t>
  </si>
  <si>
    <t>מסלול 7</t>
  </si>
  <si>
    <t>כמות במשטח</t>
  </si>
  <si>
    <t>גבס</t>
  </si>
  <si>
    <t>מחיר לפי קילו בחבילות של 5 קילו</t>
  </si>
  <si>
    <t>כמות בחבילה</t>
  </si>
  <si>
    <t>חבילה שלמה</t>
  </si>
  <si>
    <t>מסמר 6</t>
  </si>
  <si>
    <t>מסמר 10</t>
  </si>
  <si>
    <t>חבילה 5 קילו</t>
  </si>
  <si>
    <t>אריזה 5 קילו</t>
  </si>
  <si>
    <t xml:space="preserve">חבילה 12 יח </t>
  </si>
  <si>
    <t>דון קישוט</t>
  </si>
  <si>
    <t>אריזה 1 יח</t>
  </si>
  <si>
    <t>גרעין</t>
  </si>
  <si>
    <t xml:space="preserve"> | 4.5" | מיוצר מחומר הזרקוניה</t>
  </si>
  <si>
    <t>#40</t>
  </si>
  <si>
    <t>#60</t>
  </si>
  <si>
    <t xml:space="preserve"> #80</t>
  </si>
  <si>
    <t>| 4.5" | מיוצר מחומר הזרקוניה</t>
  </si>
  <si>
    <t xml:space="preserve">#100 </t>
  </si>
  <si>
    <t>#120</t>
  </si>
  <si>
    <t xml:space="preserve"> 4.5" | סטנלס סטיל, ברזל ופלדה, השחזת עץ- )כחול (אלמוניה/זירקוניה | לאבן, גרניט, שיש, בטון- )שחור (סיליקון קרביד</t>
  </si>
  <si>
    <t>4.5" | סטנלס סטיל, ברזל ופלדה, השחזת עץ- )כחול (אלמוניה/זירקוניה | לאבן, גרניט, שיש, בטון- )שחור (סיליקון קרביד</t>
  </si>
  <si>
    <t>דבק 116</t>
  </si>
  <si>
    <t>מלט חבן</t>
  </si>
  <si>
    <t xml:space="preserve">מלט שחור </t>
  </si>
  <si>
    <t xml:space="preserve">דבק אריחים לבן </t>
  </si>
  <si>
    <t>מלט לבן</t>
  </si>
  <si>
    <t>מלט שחור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</si>
</sst>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3"/>
      <color theme="0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17EC-1AA2-4B9B-ACF9-06FA75F92DA9}">
  <dimension ref="A1:H12"/>
  <sheetViews>
    <sheetView tabSelected="1" workbookViewId="0">
      <selection activeCell="C16" sqref="C16"/>
    </sheetView>
  </sheetViews>
  <sheetFormatPr defaultColWidth="45.1796875" defaultRowHeight="14.5"/>
  <cols>
    <col min="1" max="1" width="21.54296875" bestFit="1" customWidth="1"/>
    <col min="2" max="2" width="7.6328125" bestFit="1" customWidth="1"/>
    <col min="3" max="3" width="11.54296875" bestFit="1" customWidth="1"/>
    <col min="4" max="4" width="16.7265625" bestFit="1" customWidth="1"/>
    <col min="5" max="5" width="5.36328125" bestFit="1" customWidth="1"/>
    <col min="6" max="6" width="11.90625" bestFit="1" customWidth="1"/>
    <col min="7" max="7" width="11.81640625" bestFit="1" customWidth="1"/>
  </cols>
  <sheetData>
    <row r="1" spans="1:8" ht="16.5">
      <c r="A1" s="1" t="s">
        <v>0</v>
      </c>
      <c r="B1" s="1"/>
      <c r="C1" s="1"/>
      <c r="D1" s="1"/>
      <c r="E1" s="1"/>
      <c r="F1" s="1" t="s">
        <v>90</v>
      </c>
      <c r="G1" s="1" t="s">
        <v>91</v>
      </c>
    </row>
    <row r="2" spans="1:8">
      <c r="A2" s="2" t="s">
        <v>1</v>
      </c>
      <c r="B2" s="2" t="s">
        <v>2</v>
      </c>
      <c r="C2" s="2" t="s">
        <v>93</v>
      </c>
      <c r="D2" s="2" t="s">
        <v>94</v>
      </c>
      <c r="E2" s="2" t="s">
        <v>3</v>
      </c>
      <c r="F2" s="2" t="s">
        <v>103</v>
      </c>
      <c r="G2" s="2" t="s">
        <v>91</v>
      </c>
      <c r="H2" s="2"/>
    </row>
    <row r="3" spans="1:8">
      <c r="A3" s="3" t="s">
        <v>4</v>
      </c>
      <c r="B3" s="3" t="s">
        <v>5</v>
      </c>
      <c r="C3" s="3"/>
      <c r="D3" s="3" t="s">
        <v>6</v>
      </c>
      <c r="E3" s="4">
        <v>24</v>
      </c>
      <c r="F3">
        <v>35</v>
      </c>
      <c r="G3">
        <v>30</v>
      </c>
    </row>
    <row r="4" spans="1:8">
      <c r="A4" s="3" t="s">
        <v>7</v>
      </c>
      <c r="B4" s="3" t="s">
        <v>5</v>
      </c>
      <c r="C4" s="3"/>
      <c r="D4" s="3" t="s">
        <v>8</v>
      </c>
      <c r="E4" s="4">
        <v>23</v>
      </c>
      <c r="F4">
        <v>35</v>
      </c>
      <c r="G4">
        <v>30</v>
      </c>
    </row>
    <row r="5" spans="1:8">
      <c r="A5" s="3" t="s">
        <v>9</v>
      </c>
      <c r="B5" s="3" t="s">
        <v>5</v>
      </c>
      <c r="C5" s="3"/>
      <c r="D5" s="3" t="s">
        <v>10</v>
      </c>
      <c r="E5" s="4">
        <v>23</v>
      </c>
      <c r="F5">
        <v>35</v>
      </c>
      <c r="G5">
        <v>30</v>
      </c>
    </row>
    <row r="6" spans="1:8">
      <c r="A6" s="3" t="s">
        <v>11</v>
      </c>
      <c r="B6" s="3" t="s">
        <v>5</v>
      </c>
      <c r="C6" s="3"/>
      <c r="D6" s="3" t="s">
        <v>12</v>
      </c>
      <c r="E6" s="4">
        <v>23</v>
      </c>
      <c r="F6">
        <v>35</v>
      </c>
      <c r="G6">
        <v>30</v>
      </c>
    </row>
    <row r="7" spans="1:8">
      <c r="A7" s="3" t="s">
        <v>13</v>
      </c>
      <c r="B7" s="3" t="s">
        <v>5</v>
      </c>
      <c r="C7" s="3"/>
      <c r="D7" s="3" t="s">
        <v>14</v>
      </c>
      <c r="E7" s="4">
        <v>23</v>
      </c>
      <c r="F7">
        <v>35</v>
      </c>
      <c r="G7">
        <v>30</v>
      </c>
    </row>
    <row r="8" spans="1:8">
      <c r="A8" s="3" t="s">
        <v>15</v>
      </c>
      <c r="B8" s="3" t="s">
        <v>5</v>
      </c>
      <c r="C8" s="3"/>
      <c r="D8" s="3" t="s">
        <v>16</v>
      </c>
      <c r="E8" s="4">
        <v>16</v>
      </c>
      <c r="F8">
        <v>24</v>
      </c>
      <c r="G8" s="3" t="s">
        <v>92</v>
      </c>
    </row>
    <row r="9" spans="1:8">
      <c r="A9" s="3" t="s">
        <v>17</v>
      </c>
      <c r="B9" s="3" t="s">
        <v>5</v>
      </c>
      <c r="C9" s="3"/>
      <c r="D9" s="3" t="s">
        <v>18</v>
      </c>
      <c r="E9" s="4">
        <v>15</v>
      </c>
      <c r="F9">
        <v>24</v>
      </c>
      <c r="G9" s="3" t="s">
        <v>92</v>
      </c>
    </row>
    <row r="10" spans="1:8">
      <c r="A10" s="3" t="s">
        <v>19</v>
      </c>
      <c r="B10" s="3" t="s">
        <v>20</v>
      </c>
      <c r="C10" s="3"/>
      <c r="D10" s="3" t="s">
        <v>21</v>
      </c>
      <c r="E10" s="4">
        <v>19.5</v>
      </c>
      <c r="F10">
        <v>30</v>
      </c>
      <c r="G10" s="3">
        <v>25</v>
      </c>
    </row>
    <row r="11" spans="1:8">
      <c r="A11" s="3" t="s">
        <v>22</v>
      </c>
      <c r="B11" s="3" t="s">
        <v>20</v>
      </c>
      <c r="C11" s="3"/>
      <c r="D11" s="3" t="s">
        <v>23</v>
      </c>
      <c r="E11" s="4">
        <v>19.5</v>
      </c>
      <c r="F11">
        <v>30</v>
      </c>
      <c r="G11" s="3">
        <v>25</v>
      </c>
    </row>
    <row r="12" spans="1:8">
      <c r="A12" s="3" t="s">
        <v>24</v>
      </c>
      <c r="B12" s="3" t="s">
        <v>25</v>
      </c>
      <c r="C12" s="3"/>
      <c r="D12" s="3" t="s">
        <v>6</v>
      </c>
      <c r="E12" s="4">
        <v>14.5</v>
      </c>
      <c r="F12">
        <v>30</v>
      </c>
      <c r="G12" s="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36B1-85F8-4CA0-B639-0028477F917A}">
  <dimension ref="A1:H12"/>
  <sheetViews>
    <sheetView workbookViewId="0">
      <selection activeCell="D16" sqref="D16"/>
    </sheetView>
  </sheetViews>
  <sheetFormatPr defaultColWidth="31.08984375" defaultRowHeight="14.5"/>
  <cols>
    <col min="1" max="1" width="19.81640625" bestFit="1" customWidth="1"/>
    <col min="2" max="2" width="20.6328125" bestFit="1" customWidth="1"/>
    <col min="3" max="3" width="11.54296875" bestFit="1" customWidth="1"/>
    <col min="4" max="4" width="12.7265625" bestFit="1" customWidth="1"/>
    <col min="5" max="5" width="6.36328125" bestFit="1" customWidth="1"/>
    <col min="6" max="6" width="9.26953125" bestFit="1" customWidth="1"/>
    <col min="7" max="7" width="9.7265625" bestFit="1" customWidth="1"/>
  </cols>
  <sheetData>
    <row r="1" spans="1:8" ht="16.5">
      <c r="A1" s="1" t="s">
        <v>26</v>
      </c>
      <c r="B1" s="1"/>
      <c r="C1" s="1"/>
      <c r="D1" s="1"/>
      <c r="E1" s="1"/>
    </row>
    <row r="2" spans="1:8">
      <c r="A2" s="2" t="s">
        <v>1</v>
      </c>
      <c r="B2" s="2" t="s">
        <v>2</v>
      </c>
      <c r="C2" s="2" t="s">
        <v>93</v>
      </c>
      <c r="D2" s="2" t="s">
        <v>94</v>
      </c>
      <c r="E2" s="2" t="s">
        <v>3</v>
      </c>
      <c r="F2" s="2" t="s">
        <v>103</v>
      </c>
      <c r="G2" s="2" t="s">
        <v>91</v>
      </c>
      <c r="H2" s="2"/>
    </row>
    <row r="3" spans="1:8">
      <c r="A3" s="3" t="s">
        <v>27</v>
      </c>
      <c r="B3" s="3" t="s">
        <v>28</v>
      </c>
      <c r="C3" s="3">
        <v>12</v>
      </c>
      <c r="D3" s="3" t="s">
        <v>95</v>
      </c>
      <c r="E3" s="4">
        <v>16.5</v>
      </c>
      <c r="F3">
        <v>28</v>
      </c>
      <c r="G3" s="3">
        <v>25</v>
      </c>
    </row>
    <row r="4" spans="1:8">
      <c r="A4" s="3" t="s">
        <v>29</v>
      </c>
      <c r="B4" s="3" t="s">
        <v>28</v>
      </c>
      <c r="C4" s="3">
        <v>1</v>
      </c>
      <c r="D4" s="3" t="s">
        <v>96</v>
      </c>
      <c r="E4" s="4">
        <v>200</v>
      </c>
      <c r="F4">
        <v>290</v>
      </c>
      <c r="G4" s="5">
        <v>250</v>
      </c>
    </row>
    <row r="5" spans="1:8">
      <c r="A5" s="3" t="s">
        <v>30</v>
      </c>
      <c r="B5" s="3" t="s">
        <v>31</v>
      </c>
      <c r="C5" s="3">
        <v>12</v>
      </c>
      <c r="D5" s="3" t="s">
        <v>97</v>
      </c>
      <c r="E5" s="4">
        <v>11</v>
      </c>
      <c r="F5">
        <v>25</v>
      </c>
      <c r="G5" s="6">
        <f>F5*(1-15%)</f>
        <v>21.25</v>
      </c>
    </row>
    <row r="6" spans="1:8">
      <c r="A6" s="3" t="s">
        <v>32</v>
      </c>
      <c r="B6" s="3" t="s">
        <v>33</v>
      </c>
      <c r="C6" s="3">
        <v>12</v>
      </c>
      <c r="D6" s="3" t="s">
        <v>98</v>
      </c>
      <c r="E6" s="4">
        <v>23</v>
      </c>
      <c r="F6">
        <v>35</v>
      </c>
      <c r="G6" s="6">
        <f t="shared" ref="G6:G12" si="0">F6*(1-15%)</f>
        <v>29.75</v>
      </c>
    </row>
    <row r="7" spans="1:8">
      <c r="A7" s="3" t="s">
        <v>34</v>
      </c>
      <c r="B7" s="3" t="s">
        <v>35</v>
      </c>
      <c r="C7" s="3">
        <v>12</v>
      </c>
      <c r="D7" s="3" t="s">
        <v>99</v>
      </c>
      <c r="E7" s="4">
        <v>13</v>
      </c>
      <c r="F7">
        <v>30</v>
      </c>
      <c r="G7" s="6">
        <f t="shared" si="0"/>
        <v>25.5</v>
      </c>
    </row>
    <row r="8" spans="1:8">
      <c r="A8" s="3" t="s">
        <v>36</v>
      </c>
      <c r="B8" s="3" t="s">
        <v>37</v>
      </c>
      <c r="C8" s="3">
        <v>12</v>
      </c>
      <c r="D8" s="3" t="s">
        <v>97</v>
      </c>
      <c r="E8" s="4">
        <v>6.5</v>
      </c>
      <c r="F8">
        <v>15</v>
      </c>
      <c r="G8" s="6">
        <f t="shared" si="0"/>
        <v>12.75</v>
      </c>
    </row>
    <row r="9" spans="1:8">
      <c r="A9" s="3" t="s">
        <v>38</v>
      </c>
      <c r="B9" s="3" t="s">
        <v>39</v>
      </c>
      <c r="C9" s="3">
        <v>12</v>
      </c>
      <c r="D9" s="3" t="s">
        <v>100</v>
      </c>
      <c r="E9" s="4">
        <v>12.5</v>
      </c>
      <c r="F9">
        <v>25</v>
      </c>
      <c r="G9" s="6">
        <f t="shared" si="0"/>
        <v>21.25</v>
      </c>
    </row>
    <row r="10" spans="1:8">
      <c r="A10" s="3" t="s">
        <v>40</v>
      </c>
      <c r="B10" s="3" t="s">
        <v>41</v>
      </c>
      <c r="C10" s="3">
        <v>12</v>
      </c>
      <c r="D10" s="3" t="s">
        <v>101</v>
      </c>
      <c r="E10" s="4">
        <v>19.5</v>
      </c>
      <c r="F10">
        <v>35</v>
      </c>
      <c r="G10" s="6">
        <f t="shared" si="0"/>
        <v>29.75</v>
      </c>
    </row>
    <row r="11" spans="1:8">
      <c r="A11" s="3" t="s">
        <v>42</v>
      </c>
      <c r="B11" s="3" t="s">
        <v>41</v>
      </c>
      <c r="C11" s="3">
        <v>12</v>
      </c>
      <c r="D11" s="3" t="s">
        <v>102</v>
      </c>
      <c r="E11" s="4">
        <v>14.5</v>
      </c>
      <c r="F11">
        <v>25</v>
      </c>
      <c r="G11" s="6">
        <f t="shared" si="0"/>
        <v>21.25</v>
      </c>
    </row>
    <row r="12" spans="1:8">
      <c r="A12" s="3" t="s">
        <v>43</v>
      </c>
      <c r="B12" s="3" t="s">
        <v>44</v>
      </c>
      <c r="C12" s="3">
        <v>12</v>
      </c>
      <c r="D12" s="3" t="s">
        <v>97</v>
      </c>
      <c r="E12" s="4">
        <v>5</v>
      </c>
      <c r="F12">
        <v>10</v>
      </c>
      <c r="G12" s="6">
        <f t="shared" si="0"/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B813-BDCA-4E41-AB28-8B8E373F47EB}">
  <dimension ref="A1:H12"/>
  <sheetViews>
    <sheetView workbookViewId="0">
      <selection activeCell="C11" sqref="C11"/>
    </sheetView>
  </sheetViews>
  <sheetFormatPr defaultColWidth="49.54296875" defaultRowHeight="14.5"/>
  <cols>
    <col min="1" max="1" width="21.6328125" bestFit="1" customWidth="1"/>
    <col min="2" max="2" width="25.26953125" bestFit="1" customWidth="1"/>
    <col min="3" max="3" width="11.54296875" bestFit="1" customWidth="1"/>
    <col min="4" max="4" width="28" bestFit="1" customWidth="1"/>
    <col min="5" max="5" width="5.36328125" bestFit="1" customWidth="1"/>
    <col min="6" max="6" width="9.26953125" bestFit="1" customWidth="1"/>
    <col min="7" max="7" width="9.7265625" bestFit="1" customWidth="1"/>
  </cols>
  <sheetData>
    <row r="1" spans="1:8" ht="16.5">
      <c r="A1" s="1" t="s">
        <v>45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93</v>
      </c>
      <c r="D2" s="2" t="s">
        <v>104</v>
      </c>
      <c r="E2" s="2" t="s">
        <v>3</v>
      </c>
      <c r="F2" s="2" t="s">
        <v>103</v>
      </c>
      <c r="G2" s="2" t="s">
        <v>91</v>
      </c>
      <c r="H2" s="2"/>
    </row>
    <row r="3" spans="1:8">
      <c r="A3" s="3" t="s">
        <v>46</v>
      </c>
      <c r="B3" s="3" t="s">
        <v>47</v>
      </c>
      <c r="C3" s="3">
        <v>50</v>
      </c>
      <c r="D3" s="3" t="s">
        <v>105</v>
      </c>
      <c r="E3" s="4">
        <v>4.25</v>
      </c>
      <c r="F3">
        <f>E3*2</f>
        <v>8.5</v>
      </c>
      <c r="G3">
        <f>F3*(1-30%)</f>
        <v>5.9499999999999993</v>
      </c>
    </row>
    <row r="4" spans="1:8">
      <c r="A4" s="3" t="s">
        <v>48</v>
      </c>
      <c r="B4" s="3" t="s">
        <v>47</v>
      </c>
      <c r="C4" s="3">
        <v>100</v>
      </c>
      <c r="D4" s="3" t="s">
        <v>106</v>
      </c>
      <c r="E4" s="4">
        <v>2.5</v>
      </c>
      <c r="F4">
        <f t="shared" ref="F4:F12" si="0">E4*2</f>
        <v>5</v>
      </c>
      <c r="G4">
        <f t="shared" ref="G4:G12" si="1">F4*(1-30%)</f>
        <v>3.5</v>
      </c>
    </row>
    <row r="5" spans="1:8">
      <c r="A5" s="3" t="s">
        <v>49</v>
      </c>
      <c r="B5" s="3" t="s">
        <v>47</v>
      </c>
      <c r="C5" s="3">
        <v>100</v>
      </c>
      <c r="D5" s="3" t="s">
        <v>107</v>
      </c>
      <c r="E5" s="4">
        <v>1.3</v>
      </c>
      <c r="F5">
        <f t="shared" si="0"/>
        <v>2.6</v>
      </c>
      <c r="G5">
        <f t="shared" si="1"/>
        <v>1.8199999999999998</v>
      </c>
    </row>
    <row r="6" spans="1:8">
      <c r="A6" s="3" t="s">
        <v>50</v>
      </c>
      <c r="B6" s="3" t="s">
        <v>47</v>
      </c>
      <c r="C6" s="3">
        <v>25</v>
      </c>
      <c r="D6" s="3" t="s">
        <v>108</v>
      </c>
      <c r="E6" s="4">
        <v>12</v>
      </c>
      <c r="F6">
        <f t="shared" si="0"/>
        <v>24</v>
      </c>
      <c r="G6">
        <f t="shared" si="1"/>
        <v>16.799999999999997</v>
      </c>
    </row>
    <row r="7" spans="1:8">
      <c r="A7" s="3" t="s">
        <v>51</v>
      </c>
      <c r="B7" s="3" t="s">
        <v>52</v>
      </c>
      <c r="C7" s="3">
        <v>50</v>
      </c>
      <c r="D7" s="3" t="s">
        <v>105</v>
      </c>
      <c r="E7" s="4">
        <v>5.5</v>
      </c>
      <c r="F7">
        <f t="shared" si="0"/>
        <v>11</v>
      </c>
      <c r="G7">
        <f t="shared" si="1"/>
        <v>7.6999999999999993</v>
      </c>
    </row>
    <row r="8" spans="1:8">
      <c r="A8" s="3" t="s">
        <v>53</v>
      </c>
      <c r="B8" s="3" t="s">
        <v>52</v>
      </c>
      <c r="C8" s="3">
        <v>40</v>
      </c>
      <c r="D8" s="3" t="s">
        <v>109</v>
      </c>
      <c r="E8" s="4">
        <v>7</v>
      </c>
      <c r="F8">
        <f t="shared" si="0"/>
        <v>14</v>
      </c>
      <c r="G8">
        <f t="shared" si="1"/>
        <v>9.7999999999999989</v>
      </c>
    </row>
    <row r="9" spans="1:8">
      <c r="A9" s="3" t="s">
        <v>54</v>
      </c>
      <c r="B9" s="3" t="s">
        <v>55</v>
      </c>
      <c r="C9" s="3">
        <v>25</v>
      </c>
      <c r="D9" s="3" t="s">
        <v>110</v>
      </c>
      <c r="E9" s="4">
        <v>12</v>
      </c>
      <c r="F9">
        <f t="shared" si="0"/>
        <v>24</v>
      </c>
      <c r="G9">
        <f t="shared" si="1"/>
        <v>16.799999999999997</v>
      </c>
    </row>
    <row r="10" spans="1:8">
      <c r="A10" s="3" t="s">
        <v>56</v>
      </c>
      <c r="B10" s="3" t="s">
        <v>55</v>
      </c>
      <c r="C10" s="3">
        <v>25</v>
      </c>
      <c r="D10" s="3" t="s">
        <v>111</v>
      </c>
      <c r="E10" s="4">
        <v>5</v>
      </c>
      <c r="F10">
        <f t="shared" si="0"/>
        <v>10</v>
      </c>
      <c r="G10">
        <f t="shared" si="1"/>
        <v>7</v>
      </c>
    </row>
    <row r="11" spans="1:8">
      <c r="A11" s="3" t="s">
        <v>57</v>
      </c>
      <c r="B11" s="3" t="s">
        <v>55</v>
      </c>
      <c r="C11" s="3">
        <v>50</v>
      </c>
      <c r="D11" s="3" t="s">
        <v>112</v>
      </c>
      <c r="E11" s="4">
        <v>4.5</v>
      </c>
      <c r="F11">
        <f t="shared" si="0"/>
        <v>9</v>
      </c>
      <c r="G11">
        <f t="shared" si="1"/>
        <v>6.3</v>
      </c>
    </row>
    <row r="12" spans="1:8">
      <c r="A12" s="3" t="s">
        <v>58</v>
      </c>
      <c r="B12" s="3" t="s">
        <v>59</v>
      </c>
      <c r="C12" s="3">
        <v>100</v>
      </c>
      <c r="D12" s="3" t="s">
        <v>106</v>
      </c>
      <c r="E12" s="4">
        <v>3</v>
      </c>
      <c r="F12">
        <f t="shared" si="0"/>
        <v>6</v>
      </c>
      <c r="G12">
        <f t="shared" si="1"/>
        <v>4.1999999999999993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9CEF-FFB2-40EA-8150-67529C82D666}">
  <dimension ref="A1:H12"/>
  <sheetViews>
    <sheetView workbookViewId="0">
      <selection activeCell="C10" sqref="C10"/>
    </sheetView>
  </sheetViews>
  <sheetFormatPr defaultColWidth="34.26953125" defaultRowHeight="14.5"/>
  <cols>
    <col min="1" max="1" width="22.1796875" bestFit="1" customWidth="1"/>
    <col min="2" max="2" width="26.453125" bestFit="1" customWidth="1"/>
    <col min="3" max="3" width="11.54296875" bestFit="1" customWidth="1"/>
    <col min="4" max="4" width="4.81640625" bestFit="1" customWidth="1"/>
    <col min="5" max="5" width="32.7265625" bestFit="1" customWidth="1"/>
    <col min="6" max="6" width="4.81640625" bestFit="1" customWidth="1"/>
    <col min="7" max="7" width="9.26953125" bestFit="1" customWidth="1"/>
    <col min="8" max="8" width="9.7265625" bestFit="1" customWidth="1"/>
  </cols>
  <sheetData>
    <row r="1" spans="1:8" ht="16.5">
      <c r="A1" s="1" t="s">
        <v>60</v>
      </c>
      <c r="B1" s="1"/>
      <c r="C1" s="1"/>
      <c r="D1" s="1"/>
      <c r="E1" s="1"/>
      <c r="F1" s="1"/>
    </row>
    <row r="2" spans="1:8">
      <c r="A2" s="2" t="s">
        <v>1</v>
      </c>
      <c r="B2" s="2" t="s">
        <v>2</v>
      </c>
      <c r="C2" s="2" t="s">
        <v>93</v>
      </c>
      <c r="D2" s="2" t="s">
        <v>143</v>
      </c>
      <c r="E2" s="2" t="s">
        <v>113</v>
      </c>
      <c r="F2" s="2" t="s">
        <v>3</v>
      </c>
      <c r="G2" s="2" t="s">
        <v>103</v>
      </c>
      <c r="H2" s="2" t="s">
        <v>91</v>
      </c>
    </row>
    <row r="3" spans="1:8">
      <c r="A3" s="3" t="s">
        <v>61</v>
      </c>
      <c r="B3" s="3" t="s">
        <v>62</v>
      </c>
      <c r="C3" s="3">
        <v>10</v>
      </c>
      <c r="D3" s="3" t="s">
        <v>145</v>
      </c>
      <c r="E3" s="3" t="s">
        <v>144</v>
      </c>
      <c r="F3" s="4">
        <v>4</v>
      </c>
      <c r="G3">
        <v>10</v>
      </c>
      <c r="H3" s="3">
        <v>6</v>
      </c>
    </row>
    <row r="4" spans="1:8">
      <c r="A4" s="3" t="s">
        <v>63</v>
      </c>
      <c r="B4" s="3" t="s">
        <v>62</v>
      </c>
      <c r="C4" s="3">
        <v>10</v>
      </c>
      <c r="D4" s="3" t="s">
        <v>146</v>
      </c>
      <c r="E4" s="3" t="s">
        <v>144</v>
      </c>
      <c r="F4" s="4">
        <v>3</v>
      </c>
      <c r="G4">
        <v>7</v>
      </c>
      <c r="H4" s="3">
        <v>5</v>
      </c>
    </row>
    <row r="5" spans="1:8">
      <c r="A5" s="3" t="s">
        <v>64</v>
      </c>
      <c r="B5" s="3" t="s">
        <v>62</v>
      </c>
      <c r="C5" s="3">
        <v>10</v>
      </c>
      <c r="D5" s="3" t="s">
        <v>147</v>
      </c>
      <c r="E5" s="3" t="s">
        <v>144</v>
      </c>
      <c r="F5" s="4">
        <v>3</v>
      </c>
      <c r="G5">
        <v>7</v>
      </c>
      <c r="H5" s="3">
        <v>5</v>
      </c>
    </row>
    <row r="6" spans="1:8">
      <c r="A6" s="3" t="s">
        <v>65</v>
      </c>
      <c r="B6" s="3" t="s">
        <v>62</v>
      </c>
      <c r="C6" s="3">
        <v>10</v>
      </c>
      <c r="D6" s="3" t="s">
        <v>149</v>
      </c>
      <c r="E6" s="3" t="s">
        <v>148</v>
      </c>
      <c r="F6" s="4">
        <v>3</v>
      </c>
      <c r="G6">
        <v>7</v>
      </c>
      <c r="H6" s="3">
        <v>5</v>
      </c>
    </row>
    <row r="7" spans="1:8">
      <c r="A7" s="3" t="s">
        <v>66</v>
      </c>
      <c r="B7" s="3" t="s">
        <v>62</v>
      </c>
      <c r="C7" s="3">
        <v>10</v>
      </c>
      <c r="D7" s="3" t="s">
        <v>150</v>
      </c>
      <c r="E7" s="3" t="s">
        <v>144</v>
      </c>
      <c r="F7" s="4">
        <v>3</v>
      </c>
      <c r="G7">
        <v>7</v>
      </c>
      <c r="H7" s="3">
        <v>5</v>
      </c>
    </row>
    <row r="8" spans="1:8" ht="58">
      <c r="A8" s="3" t="s">
        <v>67</v>
      </c>
      <c r="B8" s="3" t="s">
        <v>68</v>
      </c>
      <c r="C8" s="3">
        <v>25</v>
      </c>
      <c r="D8" s="3" t="s">
        <v>145</v>
      </c>
      <c r="E8" s="3" t="s">
        <v>151</v>
      </c>
      <c r="F8" s="4">
        <v>1.5</v>
      </c>
      <c r="G8">
        <v>3</v>
      </c>
      <c r="H8" s="3">
        <v>2</v>
      </c>
    </row>
    <row r="9" spans="1:8" ht="43.5">
      <c r="A9" s="3" t="s">
        <v>69</v>
      </c>
      <c r="B9" s="3" t="s">
        <v>68</v>
      </c>
      <c r="C9" s="3">
        <v>25</v>
      </c>
      <c r="D9" s="3" t="s">
        <v>146</v>
      </c>
      <c r="E9" s="3" t="s">
        <v>152</v>
      </c>
      <c r="F9" s="4">
        <v>1.4</v>
      </c>
      <c r="G9">
        <v>3</v>
      </c>
      <c r="H9" s="3">
        <v>2</v>
      </c>
    </row>
    <row r="10" spans="1:8" ht="43.5">
      <c r="A10" s="3" t="s">
        <v>70</v>
      </c>
      <c r="B10" s="3" t="s">
        <v>68</v>
      </c>
      <c r="C10" s="3">
        <v>25</v>
      </c>
      <c r="D10" s="3" t="s">
        <v>147</v>
      </c>
      <c r="E10" s="3" t="s">
        <v>152</v>
      </c>
      <c r="F10" s="4">
        <v>1.4</v>
      </c>
      <c r="G10">
        <v>3</v>
      </c>
      <c r="H10" s="3">
        <v>2</v>
      </c>
    </row>
    <row r="11" spans="1:8" ht="58">
      <c r="A11" s="3" t="s">
        <v>71</v>
      </c>
      <c r="B11" s="3" t="s">
        <v>68</v>
      </c>
      <c r="C11" s="3">
        <v>25</v>
      </c>
      <c r="D11" s="3" t="s">
        <v>149</v>
      </c>
      <c r="E11" s="3" t="s">
        <v>151</v>
      </c>
      <c r="F11" s="4">
        <v>1.4</v>
      </c>
      <c r="G11">
        <v>3</v>
      </c>
      <c r="H11" s="3">
        <v>2</v>
      </c>
    </row>
    <row r="12" spans="1:8">
      <c r="D1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9FFE-7719-4C2C-9E50-E69E5725F319}">
  <dimension ref="A1:G12"/>
  <sheetViews>
    <sheetView workbookViewId="0">
      <selection activeCell="C13" sqref="C13"/>
    </sheetView>
  </sheetViews>
  <sheetFormatPr defaultColWidth="23.36328125" defaultRowHeight="14.5"/>
  <cols>
    <col min="1" max="1" width="21.6328125" bestFit="1" customWidth="1"/>
    <col min="2" max="2" width="23.26953125" bestFit="1" customWidth="1"/>
    <col min="3" max="3" width="11.54296875" bestFit="1" customWidth="1"/>
    <col min="4" max="4" width="19.453125" bestFit="1" customWidth="1"/>
    <col min="5" max="5" width="5.36328125" bestFit="1" customWidth="1"/>
    <col min="6" max="6" width="9.26953125" bestFit="1" customWidth="1"/>
    <col min="7" max="7" width="9.7265625" bestFit="1" customWidth="1"/>
  </cols>
  <sheetData>
    <row r="1" spans="1:7" ht="16.5">
      <c r="A1" s="1" t="s">
        <v>72</v>
      </c>
      <c r="B1" s="1"/>
      <c r="C1" s="1"/>
      <c r="D1" s="1"/>
    </row>
    <row r="2" spans="1:7">
      <c r="A2" s="2" t="s">
        <v>1</v>
      </c>
      <c r="B2" s="2" t="s">
        <v>2</v>
      </c>
      <c r="C2" s="2" t="s">
        <v>93</v>
      </c>
      <c r="D2" s="2" t="s">
        <v>113</v>
      </c>
      <c r="E2" s="2" t="s">
        <v>3</v>
      </c>
      <c r="F2" s="2" t="s">
        <v>103</v>
      </c>
      <c r="G2" s="2" t="s">
        <v>91</v>
      </c>
    </row>
    <row r="3" spans="1:7">
      <c r="A3" s="3" t="s">
        <v>73</v>
      </c>
      <c r="B3" s="3" t="s">
        <v>74</v>
      </c>
      <c r="C3" s="3">
        <v>4</v>
      </c>
      <c r="D3" s="3" t="s">
        <v>114</v>
      </c>
      <c r="E3" s="4">
        <v>43</v>
      </c>
      <c r="F3">
        <v>80</v>
      </c>
      <c r="G3" s="3">
        <v>70</v>
      </c>
    </row>
    <row r="4" spans="1:7">
      <c r="A4" s="3" t="s">
        <v>75</v>
      </c>
      <c r="B4" s="3" t="s">
        <v>74</v>
      </c>
      <c r="C4" s="3">
        <v>4</v>
      </c>
      <c r="D4" s="3" t="s">
        <v>115</v>
      </c>
      <c r="E4" s="4">
        <v>43</v>
      </c>
      <c r="F4">
        <v>80</v>
      </c>
      <c r="G4" s="3">
        <v>70</v>
      </c>
    </row>
    <row r="5" spans="1:7">
      <c r="A5" s="3" t="s">
        <v>76</v>
      </c>
      <c r="B5" s="3" t="s">
        <v>74</v>
      </c>
      <c r="C5" s="3">
        <v>4</v>
      </c>
      <c r="D5" s="3" t="s">
        <v>116</v>
      </c>
      <c r="E5" s="4">
        <v>43</v>
      </c>
      <c r="F5">
        <v>80</v>
      </c>
      <c r="G5" s="3">
        <v>70</v>
      </c>
    </row>
    <row r="6" spans="1:7">
      <c r="A6" s="3" t="s">
        <v>77</v>
      </c>
      <c r="B6" s="3" t="s">
        <v>74</v>
      </c>
      <c r="C6" s="3">
        <v>4</v>
      </c>
      <c r="D6" s="3" t="s">
        <v>117</v>
      </c>
      <c r="E6" s="4">
        <v>43</v>
      </c>
      <c r="F6">
        <v>80</v>
      </c>
      <c r="G6" s="3">
        <v>70</v>
      </c>
    </row>
    <row r="7" spans="1:7">
      <c r="A7" s="3" t="s">
        <v>78</v>
      </c>
      <c r="B7" s="3" t="s">
        <v>74</v>
      </c>
      <c r="C7" s="3">
        <v>4</v>
      </c>
      <c r="D7" s="3" t="s">
        <v>118</v>
      </c>
      <c r="E7" s="4">
        <v>43</v>
      </c>
      <c r="F7">
        <v>80</v>
      </c>
      <c r="G7" s="3">
        <v>70</v>
      </c>
    </row>
    <row r="8" spans="1:7">
      <c r="A8" s="3" t="s">
        <v>79</v>
      </c>
      <c r="B8" s="3" t="s">
        <v>74</v>
      </c>
      <c r="C8" s="3">
        <v>4</v>
      </c>
      <c r="D8" s="3" t="s">
        <v>119</v>
      </c>
      <c r="E8" s="4">
        <v>43</v>
      </c>
      <c r="F8">
        <v>80</v>
      </c>
      <c r="G8" s="3">
        <v>70</v>
      </c>
    </row>
    <row r="9" spans="1:7">
      <c r="A9" s="3" t="s">
        <v>80</v>
      </c>
      <c r="B9" s="3" t="s">
        <v>74</v>
      </c>
      <c r="C9" s="3">
        <v>4</v>
      </c>
      <c r="D9" s="3" t="s">
        <v>120</v>
      </c>
      <c r="E9" s="4">
        <v>43</v>
      </c>
      <c r="F9">
        <v>80</v>
      </c>
      <c r="G9" s="3">
        <v>70</v>
      </c>
    </row>
    <row r="10" spans="1:7">
      <c r="A10" s="3" t="s">
        <v>81</v>
      </c>
      <c r="B10" s="3" t="s">
        <v>74</v>
      </c>
      <c r="C10" s="3">
        <v>4</v>
      </c>
      <c r="D10" s="3" t="s">
        <v>121</v>
      </c>
      <c r="E10" s="4">
        <v>43</v>
      </c>
      <c r="F10">
        <v>80</v>
      </c>
      <c r="G10" s="3">
        <v>70</v>
      </c>
    </row>
    <row r="11" spans="1:7">
      <c r="A11" s="3" t="s">
        <v>82</v>
      </c>
      <c r="B11" s="3" t="s">
        <v>74</v>
      </c>
      <c r="C11" s="3">
        <v>4</v>
      </c>
      <c r="D11" s="3" t="s">
        <v>122</v>
      </c>
      <c r="E11" s="4">
        <v>43</v>
      </c>
      <c r="F11">
        <v>80</v>
      </c>
      <c r="G11" s="3">
        <v>70</v>
      </c>
    </row>
    <row r="12" spans="1:7">
      <c r="A12" s="3" t="s">
        <v>83</v>
      </c>
      <c r="B12" s="3" t="s">
        <v>74</v>
      </c>
      <c r="C12" s="3">
        <v>4</v>
      </c>
      <c r="D12" s="3" t="s">
        <v>123</v>
      </c>
      <c r="E12" s="4">
        <v>43</v>
      </c>
      <c r="F12">
        <v>80</v>
      </c>
      <c r="G12" s="3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02A9-8C5F-48C3-8EC0-F4C63D791F9F}">
  <dimension ref="A1:G12"/>
  <sheetViews>
    <sheetView workbookViewId="0">
      <selection activeCell="G13" sqref="G13"/>
    </sheetView>
  </sheetViews>
  <sheetFormatPr defaultColWidth="36.1796875" defaultRowHeight="14.5"/>
  <cols>
    <col min="1" max="1" width="5.453125" bestFit="1" customWidth="1"/>
    <col min="2" max="2" width="13.90625" bestFit="1" customWidth="1"/>
    <col min="3" max="3" width="11.81640625" bestFit="1" customWidth="1"/>
    <col min="4" max="4" width="13.90625" bestFit="1" customWidth="1"/>
    <col min="5" max="5" width="4.81640625" bestFit="1" customWidth="1"/>
    <col min="6" max="6" width="9.26953125" bestFit="1" customWidth="1"/>
    <col min="7" max="7" width="9.7265625" bestFit="1" customWidth="1"/>
  </cols>
  <sheetData>
    <row r="1" spans="1:7" ht="16.5">
      <c r="A1" s="1" t="s">
        <v>132</v>
      </c>
      <c r="B1" s="1"/>
      <c r="C1" s="1"/>
      <c r="D1" s="1"/>
    </row>
    <row r="2" spans="1:7">
      <c r="A2" s="2" t="s">
        <v>1</v>
      </c>
      <c r="B2" s="2" t="s">
        <v>2</v>
      </c>
      <c r="C2" s="2" t="s">
        <v>131</v>
      </c>
      <c r="D2" s="2" t="s">
        <v>94</v>
      </c>
      <c r="E2" s="2" t="s">
        <v>3</v>
      </c>
      <c r="F2" s="2" t="s">
        <v>103</v>
      </c>
      <c r="G2" s="2" t="s">
        <v>91</v>
      </c>
    </row>
    <row r="3" spans="1:7">
      <c r="A3" s="3"/>
      <c r="B3" s="3" t="s">
        <v>84</v>
      </c>
      <c r="C3" s="3">
        <v>60</v>
      </c>
      <c r="D3" s="3" t="s">
        <v>84</v>
      </c>
      <c r="E3">
        <v>39</v>
      </c>
      <c r="F3">
        <v>55</v>
      </c>
      <c r="G3" s="3">
        <v>48</v>
      </c>
    </row>
    <row r="4" spans="1:7">
      <c r="A4" s="3"/>
      <c r="B4" s="3" t="s">
        <v>124</v>
      </c>
      <c r="C4" s="3">
        <v>60</v>
      </c>
      <c r="D4" s="3" t="s">
        <v>124</v>
      </c>
      <c r="E4">
        <v>44</v>
      </c>
      <c r="F4">
        <v>65</v>
      </c>
      <c r="G4" s="3">
        <v>58</v>
      </c>
    </row>
    <row r="5" spans="1:7">
      <c r="A5" s="3"/>
      <c r="B5" s="3" t="s">
        <v>125</v>
      </c>
      <c r="C5" s="3">
        <v>60</v>
      </c>
      <c r="D5" s="3" t="s">
        <v>125</v>
      </c>
      <c r="E5">
        <v>91</v>
      </c>
      <c r="F5">
        <v>140</v>
      </c>
      <c r="G5" s="3">
        <v>125</v>
      </c>
    </row>
    <row r="6" spans="1:7">
      <c r="A6" s="3"/>
      <c r="B6" s="3" t="s">
        <v>126</v>
      </c>
      <c r="C6" s="3">
        <v>60</v>
      </c>
      <c r="D6" s="3" t="s">
        <v>126</v>
      </c>
      <c r="E6">
        <v>44</v>
      </c>
      <c r="F6">
        <v>65</v>
      </c>
      <c r="G6" s="3">
        <v>58</v>
      </c>
    </row>
    <row r="7" spans="1:7">
      <c r="A7" s="3"/>
      <c r="B7" s="3" t="s">
        <v>127</v>
      </c>
      <c r="C7" s="3"/>
      <c r="D7" s="4"/>
    </row>
    <row r="8" spans="1:7">
      <c r="A8" s="3"/>
      <c r="B8" s="3" t="s">
        <v>128</v>
      </c>
      <c r="C8" s="3"/>
      <c r="D8" s="4"/>
    </row>
    <row r="9" spans="1:7">
      <c r="A9" s="3"/>
      <c r="B9" s="3" t="s">
        <v>129</v>
      </c>
      <c r="C9" s="3"/>
      <c r="D9" s="4"/>
    </row>
    <row r="10" spans="1:7">
      <c r="A10" s="3"/>
      <c r="B10" s="3" t="s">
        <v>130</v>
      </c>
      <c r="C10" s="3"/>
      <c r="D10" s="4"/>
    </row>
    <row r="11" spans="1:7">
      <c r="A11" s="3"/>
      <c r="B11" s="3"/>
      <c r="C11" s="3"/>
      <c r="D11" s="4"/>
    </row>
    <row r="12" spans="1:7">
      <c r="A12" s="3"/>
      <c r="B12" s="3"/>
      <c r="C12" s="3"/>
      <c r="D1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1C1F-E0B6-4C23-B147-6AC7948BB859}">
  <dimension ref="A1:G5"/>
  <sheetViews>
    <sheetView workbookViewId="0">
      <selection activeCell="K16" sqref="K16"/>
    </sheetView>
  </sheetViews>
  <sheetFormatPr defaultRowHeight="14.5"/>
  <cols>
    <col min="1" max="1" width="5.453125" bestFit="1" customWidth="1"/>
    <col min="2" max="2" width="9.08984375" bestFit="1" customWidth="1"/>
    <col min="3" max="3" width="11.81640625" bestFit="1" customWidth="1"/>
    <col min="4" max="4" width="13.6328125" bestFit="1" customWidth="1"/>
    <col min="5" max="5" width="4.81640625" bestFit="1" customWidth="1"/>
    <col min="6" max="6" width="9.26953125" bestFit="1" customWidth="1"/>
    <col min="7" max="7" width="9.7265625" bestFit="1" customWidth="1"/>
  </cols>
  <sheetData>
    <row r="1" spans="1:7" ht="16.5">
      <c r="A1" s="1" t="s">
        <v>132</v>
      </c>
      <c r="B1" s="1"/>
      <c r="C1" s="1"/>
      <c r="D1" s="1"/>
    </row>
    <row r="2" spans="1:7">
      <c r="A2" s="2" t="s">
        <v>1</v>
      </c>
      <c r="B2" s="2" t="s">
        <v>2</v>
      </c>
      <c r="C2" s="2" t="s">
        <v>131</v>
      </c>
      <c r="D2" s="2" t="s">
        <v>94</v>
      </c>
      <c r="E2" s="2" t="s">
        <v>3</v>
      </c>
      <c r="F2" s="2" t="s">
        <v>103</v>
      </c>
      <c r="G2" s="2" t="s">
        <v>91</v>
      </c>
    </row>
    <row r="3" spans="1:7">
      <c r="B3" t="s">
        <v>153</v>
      </c>
      <c r="C3">
        <v>80</v>
      </c>
      <c r="D3" t="s">
        <v>156</v>
      </c>
      <c r="E3">
        <v>40.5</v>
      </c>
      <c r="F3">
        <v>65</v>
      </c>
      <c r="G3">
        <v>60</v>
      </c>
    </row>
    <row r="4" spans="1:7">
      <c r="B4" t="s">
        <v>154</v>
      </c>
      <c r="C4">
        <v>80</v>
      </c>
      <c r="D4" t="s">
        <v>157</v>
      </c>
      <c r="E4">
        <v>24</v>
      </c>
      <c r="F4">
        <v>30</v>
      </c>
      <c r="G4">
        <v>28</v>
      </c>
    </row>
    <row r="5" spans="1:7">
      <c r="B5" t="s">
        <v>155</v>
      </c>
      <c r="C5">
        <v>80</v>
      </c>
      <c r="D5" t="s">
        <v>158</v>
      </c>
      <c r="E5">
        <v>13</v>
      </c>
      <c r="F5">
        <v>20</v>
      </c>
      <c r="G5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D290-1A0C-4BEE-B30A-9B8F7A1C2161}">
  <dimension ref="A1:G12"/>
  <sheetViews>
    <sheetView workbookViewId="0">
      <selection activeCell="H11" sqref="H11"/>
    </sheetView>
  </sheetViews>
  <sheetFormatPr defaultColWidth="33.81640625" defaultRowHeight="14.5"/>
  <cols>
    <col min="1" max="1" width="11.26953125" bestFit="1" customWidth="1"/>
    <col min="2" max="2" width="9.453125" bestFit="1" customWidth="1"/>
    <col min="3" max="3" width="11.81640625" bestFit="1" customWidth="1"/>
    <col min="4" max="4" width="34.08984375" bestFit="1" customWidth="1"/>
    <col min="5" max="5" width="4.81640625" bestFit="1" customWidth="1"/>
    <col min="6" max="6" width="9.26953125" bestFit="1" customWidth="1"/>
    <col min="7" max="7" width="9.7265625" bestFit="1" customWidth="1"/>
  </cols>
  <sheetData>
    <row r="1" spans="1:7" ht="16.5">
      <c r="A1" s="1" t="s">
        <v>85</v>
      </c>
      <c r="B1" s="1"/>
      <c r="C1" s="1"/>
      <c r="D1" s="1" t="s">
        <v>133</v>
      </c>
    </row>
    <row r="2" spans="1:7">
      <c r="A2" s="2" t="s">
        <v>1</v>
      </c>
      <c r="B2" s="2" t="s">
        <v>2</v>
      </c>
      <c r="C2" s="2" t="s">
        <v>134</v>
      </c>
      <c r="D2" s="2" t="s">
        <v>94</v>
      </c>
      <c r="E2" s="2" t="s">
        <v>3</v>
      </c>
      <c r="F2" s="2" t="s">
        <v>103</v>
      </c>
      <c r="G2" s="2" t="s">
        <v>91</v>
      </c>
    </row>
    <row r="3" spans="1:7">
      <c r="A3" s="3"/>
      <c r="B3" s="3" t="s">
        <v>86</v>
      </c>
      <c r="C3" s="3" t="s">
        <v>87</v>
      </c>
      <c r="D3" s="4" t="s">
        <v>138</v>
      </c>
      <c r="E3">
        <v>15</v>
      </c>
      <c r="F3">
        <v>25</v>
      </c>
      <c r="G3">
        <v>18.5</v>
      </c>
    </row>
    <row r="4" spans="1:7">
      <c r="A4" s="3"/>
      <c r="B4" s="3" t="s">
        <v>86</v>
      </c>
      <c r="C4" s="3" t="s">
        <v>88</v>
      </c>
      <c r="D4" s="4" t="s">
        <v>135</v>
      </c>
      <c r="E4">
        <v>75</v>
      </c>
      <c r="F4">
        <v>125</v>
      </c>
      <c r="G4">
        <v>92.5</v>
      </c>
    </row>
    <row r="5" spans="1:7">
      <c r="A5" s="3"/>
      <c r="B5" s="3" t="s">
        <v>89</v>
      </c>
      <c r="C5" s="3" t="s">
        <v>87</v>
      </c>
      <c r="D5" s="4" t="s">
        <v>138</v>
      </c>
      <c r="E5">
        <v>15</v>
      </c>
      <c r="F5">
        <v>25</v>
      </c>
      <c r="G5">
        <v>18.5</v>
      </c>
    </row>
    <row r="6" spans="1:7">
      <c r="A6" s="3"/>
      <c r="B6" s="3" t="s">
        <v>89</v>
      </c>
      <c r="C6" s="3" t="s">
        <v>88</v>
      </c>
      <c r="D6" s="4" t="s">
        <v>135</v>
      </c>
      <c r="E6">
        <v>75</v>
      </c>
      <c r="F6">
        <v>125</v>
      </c>
      <c r="G6">
        <v>92.5</v>
      </c>
    </row>
    <row r="7" spans="1:7">
      <c r="A7" s="3"/>
      <c r="B7" s="3" t="s">
        <v>136</v>
      </c>
      <c r="C7" s="3" t="s">
        <v>87</v>
      </c>
      <c r="D7" s="4" t="s">
        <v>139</v>
      </c>
      <c r="E7">
        <v>15</v>
      </c>
      <c r="F7">
        <v>25</v>
      </c>
      <c r="G7">
        <v>20</v>
      </c>
    </row>
    <row r="8" spans="1:7">
      <c r="A8" s="3"/>
      <c r="B8" s="3" t="s">
        <v>137</v>
      </c>
      <c r="C8" s="3" t="s">
        <v>87</v>
      </c>
      <c r="D8" s="4" t="s">
        <v>139</v>
      </c>
      <c r="E8">
        <v>15</v>
      </c>
      <c r="F8">
        <v>25</v>
      </c>
      <c r="G8">
        <v>20</v>
      </c>
    </row>
    <row r="9" spans="1:7">
      <c r="A9" s="3"/>
      <c r="B9" s="3" t="s">
        <v>141</v>
      </c>
      <c r="C9" s="3">
        <v>1</v>
      </c>
      <c r="D9" s="4" t="s">
        <v>142</v>
      </c>
      <c r="E9">
        <v>7</v>
      </c>
      <c r="F9">
        <v>15</v>
      </c>
      <c r="G9" t="s">
        <v>92</v>
      </c>
    </row>
    <row r="10" spans="1:7">
      <c r="A10" s="3"/>
      <c r="B10" s="3" t="s">
        <v>141</v>
      </c>
      <c r="C10" s="3">
        <v>12</v>
      </c>
      <c r="D10" s="4" t="s">
        <v>140</v>
      </c>
      <c r="E10">
        <v>84</v>
      </c>
      <c r="F10">
        <v>150</v>
      </c>
      <c r="G10">
        <v>130</v>
      </c>
    </row>
    <row r="11" spans="1:7">
      <c r="A11" s="3"/>
      <c r="B11" s="3"/>
      <c r="C11" s="3"/>
      <c r="D11" s="4"/>
    </row>
    <row r="12" spans="1:7">
      <c r="A12" s="3"/>
      <c r="B12" s="3"/>
      <c r="C12" s="3"/>
      <c r="D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חומרי איטום והדבקה</vt:lpstr>
      <vt:lpstr>צבעים, ספריי וניקוי</vt:lpstr>
      <vt:lpstr>דיסקי חיתוך והשחזה</vt:lpstr>
      <vt:lpstr>ליטוש, שיוף ומברשות</vt:lpstr>
      <vt:lpstr>קרמיקה, רובה וריצוף</vt:lpstr>
      <vt:lpstr>גבס</vt:lpstr>
      <vt:lpstr>מלט ודבקים(חומר שחור)</vt:lpstr>
      <vt:lpstr>ברזל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Ighbariah</dc:creator>
  <cp:lastModifiedBy>Adham Ighbariah</cp:lastModifiedBy>
  <dcterms:created xsi:type="dcterms:W3CDTF">2026-04-26T15:42:20Z</dcterms:created>
  <dcterms:modified xsi:type="dcterms:W3CDTF">2026-04-26T17:03:46Z</dcterms:modified>
</cp:coreProperties>
</file>