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win 11\work\BuiltIn\BE\src\resources\"/>
    </mc:Choice>
  </mc:AlternateContent>
  <bookViews>
    <workbookView xWindow="-110" yWindow="-110" windowWidth="19420" windowHeight="10300" activeTab="7"/>
  </bookViews>
  <sheets>
    <sheet name="Sealing and Adhesives" sheetId="1" r:id="rId1"/>
    <sheet name="Paints, Sprays, Cleaning" sheetId="2" r:id="rId2"/>
    <sheet name="Cutting and Grinding" sheetId="3" r:id="rId3"/>
    <sheet name="Polishing and Sanding" sheetId="4" r:id="rId4"/>
    <sheet name="Ceramics and Tiling" sheetId="5" r:id="rId5"/>
    <sheet name="Plasterboard" sheetId="6" r:id="rId6"/>
    <sheet name="Cement and Adhesives" sheetId="7" r:id="rId7"/>
    <sheet name="Iron Metal" sheetId="8" r:id="rId8"/>
  </sheets>
  <calcPr/>
</workbook>
</file>

<file path=xl/calcChain.xml><?xml version="1.0" encoding="utf-8"?>
<calcChain xmlns="http://schemas.openxmlformats.org/spreadsheetml/2006/main">
  <c i="3" l="1" r="F12"/>
  <c r="G12"/>
  <c r="F11"/>
  <c r="G11"/>
  <c r="G10"/>
  <c r="F10"/>
  <c r="F9"/>
  <c r="G9"/>
  <c r="F8"/>
  <c r="G8"/>
  <c r="F7"/>
  <c r="G7"/>
  <c r="G6"/>
  <c r="F6"/>
  <c r="F5"/>
  <c r="G5"/>
  <c r="G4"/>
  <c r="F4"/>
  <c r="F3"/>
  <c r="G3"/>
  <c i="2" r="G12"/>
  <c r="G11"/>
  <c r="G10"/>
  <c r="G9"/>
  <c r="G8"/>
  <c r="G7"/>
  <c r="G6"/>
  <c r="G5"/>
</calcChain>
</file>

<file path=xl/sharedStrings.xml><?xml version="1.0" encoding="utf-8"?>
<sst xmlns="http://schemas.openxmlformats.org/spreadsheetml/2006/main">
  <si>
    <t>Sealing and Adhesives</t>
  </si>
  <si>
    <t>Customer Price</t>
  </si>
  <si>
    <t>Contractor Price</t>
  </si>
  <si>
    <t>SKU</t>
  </si>
  <si>
    <t>Product Name</t>
  </si>
  <si>
    <t>Qty per Carton</t>
  </si>
  <si>
    <t>Description/Weight</t>
  </si>
  <si>
    <t>Price</t>
  </si>
  <si>
    <t>100010</t>
  </si>
  <si>
    <t>Super 7</t>
  </si>
  <si>
    <t>|290 ml | Clear</t>
  </si>
  <si>
    <t>100533</t>
  </si>
  <si>
    <t>|290 ml | White</t>
  </si>
  <si>
    <t>100210</t>
  </si>
  <si>
    <t>290 ml | Pergamon</t>
  </si>
  <si>
    <t>100211</t>
  </si>
  <si>
    <t>290 ml | Black</t>
  </si>
  <si>
    <t>102950</t>
  </si>
  <si>
    <t>290 ml | Gray</t>
  </si>
  <si>
    <t>103394</t>
  </si>
  <si>
    <t>80 ml | Clear</t>
  </si>
  <si>
    <t>X</t>
  </si>
  <si>
    <t>103393</t>
  </si>
  <si>
    <t xml:space="preserve"> 80 ml | White</t>
  </si>
  <si>
    <t>103125</t>
  </si>
  <si>
    <t>Super 8</t>
  </si>
  <si>
    <t>290 ml | White</t>
  </si>
  <si>
    <t>103126</t>
  </si>
  <si>
    <t>290 ml | Clear</t>
  </si>
  <si>
    <t>100788</t>
  </si>
  <si>
    <t>Super 10</t>
  </si>
  <si>
    <t>Paints, Sprays, Cleaning</t>
  </si>
  <si>
    <t>100480</t>
  </si>
  <si>
    <t>Grease</t>
  </si>
  <si>
    <t>400 ml | Cartridge</t>
  </si>
  <si>
    <t>102108</t>
  </si>
  <si>
    <t>15 kg | Tin Can</t>
  </si>
  <si>
    <t>101385</t>
  </si>
  <si>
    <t>Grease Spray</t>
  </si>
  <si>
    <t>400 ml</t>
  </si>
  <si>
    <t>103283</t>
  </si>
  <si>
    <t>Sticker Remover Spray</t>
  </si>
  <si>
    <t>300 ml</t>
  </si>
  <si>
    <t>100167</t>
  </si>
  <si>
    <t>Tar Spray</t>
  </si>
  <si>
    <t>600ml - 530 gr</t>
  </si>
  <si>
    <t>100111</t>
  </si>
  <si>
    <t>Rust Spray</t>
  </si>
  <si>
    <t>100402</t>
  </si>
  <si>
    <t>Rust Spray American Eagle</t>
  </si>
  <si>
    <t>650 ml</t>
  </si>
  <si>
    <t>103284</t>
  </si>
  <si>
    <t>WD40 Oil Spray</t>
  </si>
  <si>
    <t>330 ml</t>
  </si>
  <si>
    <t>103368</t>
  </si>
  <si>
    <t>200 ml</t>
  </si>
  <si>
    <t>100505</t>
  </si>
  <si>
    <t>Cold Galvanizing Zinc Spray</t>
  </si>
  <si>
    <t>Cutting and Grinding</t>
  </si>
  <si>
    <t>Description/Diameter</t>
  </si>
  <si>
    <t>102451</t>
  </si>
  <si>
    <t>Iron Cutting Disc</t>
  </si>
  <si>
    <t>230x3x22.2 | 9x1/8 | 9"</t>
  </si>
  <si>
    <t>102453</t>
  </si>
  <si>
    <t>115x3.2x22.2 | 4.5x1/8 | 4.5"</t>
  </si>
  <si>
    <t>102452</t>
  </si>
  <si>
    <t>115x1.6x22.2 | 4.5x1/16 | Thin 4.5"</t>
  </si>
  <si>
    <t>102458</t>
  </si>
  <si>
    <t>350x3.0x25.4 | 14x1/8 | 14"</t>
  </si>
  <si>
    <t>100584</t>
  </si>
  <si>
    <t>Gamal Sharid 9" Iron Cutting Disc</t>
  </si>
  <si>
    <t>101144</t>
  </si>
  <si>
    <t>230x1.9x22.2 | 9x1.9 | Thin 9"</t>
  </si>
  <si>
    <t>100066</t>
  </si>
  <si>
    <t>Iron/Steel Grinding Disc</t>
  </si>
  <si>
    <t>230x6.5x22.2 | 9x1/4 | 9"</t>
  </si>
  <si>
    <t>100065</t>
  </si>
  <si>
    <t>180x6.5x22.2 | 7x1/4 | 7"</t>
  </si>
  <si>
    <t>100064</t>
  </si>
  <si>
    <t>115x6.0x22.2 | 4.5x1/4 | 4.5"</t>
  </si>
  <si>
    <t>100092</t>
  </si>
  <si>
    <t>Gamal Sharid 4.5" Cutting Disc</t>
  </si>
  <si>
    <t>Polishing and Sanding</t>
  </si>
  <si>
    <t>Grit</t>
  </si>
  <si>
    <t>Color/Weight</t>
  </si>
  <si>
    <t>102363</t>
  </si>
  <si>
    <t>Multi-Layer Flap Disc (High Density)</t>
  </si>
  <si>
    <t>#40</t>
  </si>
  <si>
    <t xml:space="preserve"> | 4.5" | Made from zirconia material</t>
  </si>
  <si>
    <t>102364</t>
  </si>
  <si>
    <t>#60</t>
  </si>
  <si>
    <t>102365</t>
  </si>
  <si>
    <t xml:space="preserve"> #80</t>
  </si>
  <si>
    <t>102366</t>
  </si>
  <si>
    <t xml:space="preserve">#100 </t>
  </si>
  <si>
    <t>| 4.5" | Made from zirconia material</t>
  </si>
  <si>
    <t>100093</t>
  </si>
  <si>
    <t>#120</t>
  </si>
  <si>
    <t>102288</t>
  </si>
  <si>
    <t>4.5" Fiber Sanding Paper</t>
  </si>
  <si>
    <t xml:space="preserve"> 4.5" | Stainless steel, iron &amp; steel, wood - (blue) alumina/zirconia | Stone, granite, marble, concrete - (black) silicon carbide</t>
  </si>
  <si>
    <t>102289</t>
  </si>
  <si>
    <t>4.5" | Stainless steel, iron &amp; steel, wood - (blue) alumina/zirconia | Stone, granite, marble, concrete - (black) silicon carbide</t>
  </si>
  <si>
    <t>102290</t>
  </si>
  <si>
    <t>102291</t>
  </si>
  <si>
    <t>Ceramics and Tiling</t>
  </si>
  <si>
    <t>104110</t>
  </si>
  <si>
    <t>KERACOLOR FF - Premium Grout</t>
  </si>
  <si>
    <t xml:space="preserve"> 5 kg | White | 100</t>
  </si>
  <si>
    <t>104111</t>
  </si>
  <si>
    <t>5 kg | Jericho White | 103</t>
  </si>
  <si>
    <t>104112</t>
  </si>
  <si>
    <t>5 kg | Manhattan | 110</t>
  </si>
  <si>
    <t>104113</t>
  </si>
  <si>
    <t xml:space="preserve"> 5 kg | Silver | 111</t>
  </si>
  <si>
    <t>104114</t>
  </si>
  <si>
    <t xml:space="preserve"> 5 kg | Medium Gray | 112</t>
  </si>
  <si>
    <t>104115</t>
  </si>
  <si>
    <t xml:space="preserve"> 5 kg | Concrete Gray | 113</t>
  </si>
  <si>
    <t>104220</t>
  </si>
  <si>
    <t xml:space="preserve"> 5 kg | Charcoal | 114</t>
  </si>
  <si>
    <t>104116</t>
  </si>
  <si>
    <t>5 kg | Jasmine | 130</t>
  </si>
  <si>
    <t>104201</t>
  </si>
  <si>
    <t xml:space="preserve"> 5 kg | Vanilla | 131</t>
  </si>
  <si>
    <t>104117</t>
  </si>
  <si>
    <t>5 kg | Beige | 132</t>
  </si>
  <si>
    <t>Plasterboard</t>
  </si>
  <si>
    <t>Qty per Pallet</t>
  </si>
  <si>
    <t>White Plasterboard</t>
  </si>
  <si>
    <t>Green Plasterboard</t>
  </si>
  <si>
    <t>Blue Plasterboard (Exterior)</t>
  </si>
  <si>
    <t>Pink Plasterboard</t>
  </si>
  <si>
    <t>Stud 5</t>
  </si>
  <si>
    <t>Track 5</t>
  </si>
  <si>
    <t>Stud 7</t>
  </si>
  <si>
    <t>Track 7</t>
  </si>
  <si>
    <t>Tile Adhesive 116</t>
  </si>
  <si>
    <t>White Tile Adhesive</t>
  </si>
  <si>
    <t>White Cement</t>
  </si>
  <si>
    <t>Black Cement</t>
  </si>
  <si>
    <t>Other - General</t>
  </si>
  <si>
    <t>Price per kg in 5 kg packages</t>
  </si>
  <si>
    <t>Qty per Package</t>
  </si>
  <si>
    <t>Twisted Wire</t>
  </si>
  <si>
    <t>5 Kg</t>
  </si>
  <si>
    <t>5 kg Package</t>
  </si>
  <si>
    <t>25 Kg</t>
  </si>
  <si>
    <t>Full Package</t>
  </si>
  <si>
    <t>Binding Wire</t>
  </si>
  <si>
    <t>Nail 6</t>
  </si>
  <si>
    <t>5 kg Pack</t>
  </si>
  <si>
    <t>Nail 10</t>
  </si>
  <si>
    <t>Don Quixote</t>
  </si>
  <si>
    <t>1 Unit Pack</t>
  </si>
  <si>
    <t>12 Unit Package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</si>
</sst>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3"/>
      <color theme="0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F17" sqref="F17"/>
    </sheetView>
  </sheetViews>
  <sheetFormatPr defaultColWidth="45.125" defaultRowHeight="14.25"/>
  <cols>
    <col min="1" max="1" width="21.5" bestFit="1" customWidth="1"/>
    <col min="2" max="2" width="7.625" bestFit="1" customWidth="1"/>
    <col min="3" max="3" width="33.75" customWidth="1"/>
    <col min="4" max="4" width="16.75" bestFit="1" customWidth="1"/>
    <col min="5" max="5" width="5.375" bestFit="1" customWidth="1"/>
    <col min="6" max="6" width="11.875" bestFit="1" customWidth="1"/>
    <col min="7" max="7" width="11.875" bestFit="1" customWidth="1"/>
  </cols>
  <sheetData>
    <row r="1" ht="16.5" customHeight="1">
      <c r="A1" s="1" t="s">
        <v>0</v>
      </c>
      <c r="B1" s="1"/>
      <c r="C1" s="1"/>
      <c r="D1" s="1"/>
      <c r="E1" s="1"/>
      <c r="F1" s="1" t="s">
        <v>1</v>
      </c>
      <c r="G1" s="1" t="s">
        <v>2</v>
      </c>
    </row>
    <row r="2" ht="1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1</v>
      </c>
      <c r="G2" s="2" t="s">
        <v>2</v>
      </c>
      <c r="H2" s="2"/>
    </row>
    <row r="3">
      <c r="A3" s="3" t="s">
        <v>8</v>
      </c>
      <c r="B3" s="3" t="s">
        <v>9</v>
      </c>
      <c r="C3" s="3">
        <v>12</v>
      </c>
      <c r="D3" s="3" t="s">
        <v>10</v>
      </c>
      <c r="E3" s="4">
        <v>24</v>
      </c>
      <c r="F3">
        <v>35</v>
      </c>
      <c r="G3">
        <v>30</v>
      </c>
    </row>
    <row r="4">
      <c r="A4" s="3" t="s">
        <v>11</v>
      </c>
      <c r="B4" s="3" t="s">
        <v>9</v>
      </c>
      <c r="C4" s="3">
        <v>12</v>
      </c>
      <c r="D4" s="3" t="s">
        <v>12</v>
      </c>
      <c r="E4" s="4">
        <v>23</v>
      </c>
      <c r="F4">
        <v>35</v>
      </c>
      <c r="G4">
        <v>30</v>
      </c>
    </row>
    <row r="5">
      <c r="A5" s="3" t="s">
        <v>13</v>
      </c>
      <c r="B5" s="3" t="s">
        <v>9</v>
      </c>
      <c r="C5" s="3">
        <v>12</v>
      </c>
      <c r="D5" s="3" t="s">
        <v>14</v>
      </c>
      <c r="E5" s="4">
        <v>23</v>
      </c>
      <c r="F5">
        <v>35</v>
      </c>
      <c r="G5">
        <v>30</v>
      </c>
    </row>
    <row r="6">
      <c r="A6" s="3" t="s">
        <v>15</v>
      </c>
      <c r="B6" s="3" t="s">
        <v>9</v>
      </c>
      <c r="C6" s="3">
        <v>12</v>
      </c>
      <c r="D6" s="3" t="s">
        <v>16</v>
      </c>
      <c r="E6" s="4">
        <v>23</v>
      </c>
      <c r="F6">
        <v>35</v>
      </c>
      <c r="G6">
        <v>30</v>
      </c>
    </row>
    <row r="7">
      <c r="A7" s="3" t="s">
        <v>17</v>
      </c>
      <c r="B7" s="3" t="s">
        <v>9</v>
      </c>
      <c r="C7" s="3">
        <v>12</v>
      </c>
      <c r="D7" s="3" t="s">
        <v>18</v>
      </c>
      <c r="E7" s="4">
        <v>23</v>
      </c>
      <c r="F7">
        <v>35</v>
      </c>
      <c r="G7">
        <v>30</v>
      </c>
    </row>
    <row r="8">
      <c r="A8" s="3" t="s">
        <v>19</v>
      </c>
      <c r="B8" s="3" t="s">
        <v>9</v>
      </c>
      <c r="C8" s="3">
        <v>25</v>
      </c>
      <c r="D8" s="3" t="s">
        <v>20</v>
      </c>
      <c r="E8" s="4">
        <v>16</v>
      </c>
      <c r="F8">
        <v>24</v>
      </c>
      <c r="G8" s="3" t="s">
        <v>21</v>
      </c>
    </row>
    <row r="9">
      <c r="A9" s="3" t="s">
        <v>22</v>
      </c>
      <c r="B9" s="3" t="s">
        <v>9</v>
      </c>
      <c r="C9" s="3">
        <v>25</v>
      </c>
      <c r="D9" s="3" t="s">
        <v>23</v>
      </c>
      <c r="E9" s="4">
        <v>15</v>
      </c>
      <c r="F9">
        <v>24</v>
      </c>
      <c r="G9" s="3" t="s">
        <v>21</v>
      </c>
    </row>
    <row r="10">
      <c r="A10" s="3" t="s">
        <v>24</v>
      </c>
      <c r="B10" s="3" t="s">
        <v>25</v>
      </c>
      <c r="C10" s="3">
        <v>24</v>
      </c>
      <c r="D10" s="3" t="s">
        <v>26</v>
      </c>
      <c r="E10" s="4">
        <v>19.5</v>
      </c>
      <c r="F10">
        <v>30</v>
      </c>
      <c r="G10" s="3">
        <v>25</v>
      </c>
    </row>
    <row r="11">
      <c r="A11" s="3" t="s">
        <v>27</v>
      </c>
      <c r="B11" s="3" t="s">
        <v>25</v>
      </c>
      <c r="C11" s="3">
        <v>24</v>
      </c>
      <c r="D11" s="3" t="s">
        <v>28</v>
      </c>
      <c r="E11" s="4">
        <v>19.5</v>
      </c>
      <c r="F11">
        <v>30</v>
      </c>
      <c r="G11" s="3">
        <v>25</v>
      </c>
    </row>
    <row r="12" ht="28.5">
      <c r="A12" s="3" t="s">
        <v>29</v>
      </c>
      <c r="B12" s="3" t="s">
        <v>30</v>
      </c>
      <c r="C12" s="3">
        <v>12</v>
      </c>
      <c r="D12" s="3" t="s">
        <v>28</v>
      </c>
      <c r="E12" s="4">
        <v>14.5</v>
      </c>
      <c r="F12">
        <v>30</v>
      </c>
      <c r="G12" s="3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8" sqref="A38"/>
    </sheetView>
  </sheetViews>
  <sheetFormatPr defaultColWidth="31.125" defaultRowHeight="14.25"/>
  <cols>
    <col min="1" max="1" width="19.875" bestFit="1" customWidth="1"/>
    <col min="2" max="2" width="20.625" bestFit="1" customWidth="1"/>
    <col min="3" max="3" width="11.5" bestFit="1" customWidth="1"/>
    <col min="4" max="4" width="37.25" customWidth="1"/>
    <col min="5" max="5" width="6.375" bestFit="1" customWidth="1"/>
    <col min="6" max="6" width="9.25" bestFit="1" customWidth="1"/>
    <col min="7" max="7" width="9.75" bestFit="1" customWidth="1"/>
  </cols>
  <sheetData>
    <row r="1" ht="16.5" customHeight="1">
      <c r="A1" s="1" t="s">
        <v>31</v>
      </c>
      <c r="B1" s="1"/>
      <c r="C1" s="1"/>
      <c r="D1" s="1"/>
      <c r="E1" s="1"/>
    </row>
    <row r="2" ht="1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1</v>
      </c>
      <c r="G2" s="2" t="s">
        <v>2</v>
      </c>
      <c r="H2" s="2"/>
    </row>
    <row r="3">
      <c r="A3" s="3" t="s">
        <v>32</v>
      </c>
      <c r="B3" s="3" t="s">
        <v>33</v>
      </c>
      <c r="C3" s="3">
        <v>12</v>
      </c>
      <c r="D3" s="3" t="s">
        <v>34</v>
      </c>
      <c r="E3" s="4">
        <v>16.5</v>
      </c>
      <c r="F3">
        <v>28</v>
      </c>
      <c r="G3" s="3">
        <v>25</v>
      </c>
    </row>
    <row r="4">
      <c r="A4" s="3" t="s">
        <v>35</v>
      </c>
      <c r="B4" s="3" t="s">
        <v>33</v>
      </c>
      <c r="C4" s="3">
        <v>1</v>
      </c>
      <c r="D4" s="3" t="s">
        <v>36</v>
      </c>
      <c r="E4" s="4">
        <v>200</v>
      </c>
      <c r="F4">
        <v>290</v>
      </c>
      <c r="G4" s="5">
        <v>250</v>
      </c>
    </row>
    <row r="5">
      <c r="A5" s="3" t="s">
        <v>37</v>
      </c>
      <c r="B5" s="3" t="s">
        <v>38</v>
      </c>
      <c r="C5" s="3">
        <v>12</v>
      </c>
      <c r="D5" s="3" t="s">
        <v>39</v>
      </c>
      <c r="E5" s="4">
        <v>11</v>
      </c>
      <c r="F5">
        <v>25</v>
      </c>
      <c r="G5" s="6">
        <f>F5*(1-15%)</f>
        <v>21.25</v>
      </c>
    </row>
    <row r="6">
      <c r="A6" s="3" t="s">
        <v>40</v>
      </c>
      <c r="B6" s="3" t="s">
        <v>41</v>
      </c>
      <c r="C6" s="3">
        <v>12</v>
      </c>
      <c r="D6" s="3" t="s">
        <v>42</v>
      </c>
      <c r="E6" s="4">
        <v>23</v>
      </c>
      <c r="F6">
        <v>35</v>
      </c>
      <c r="G6" s="6">
        <f>F6*(1-15%)</f>
        <v>29.75</v>
      </c>
    </row>
    <row r="7">
      <c r="A7" s="3" t="s">
        <v>43</v>
      </c>
      <c r="B7" s="3" t="s">
        <v>44</v>
      </c>
      <c r="C7" s="3">
        <v>12</v>
      </c>
      <c r="D7" s="3" t="s">
        <v>45</v>
      </c>
      <c r="E7" s="4">
        <v>13</v>
      </c>
      <c r="F7">
        <v>30</v>
      </c>
      <c r="G7" s="6">
        <f>F7*(1-15%)</f>
        <v>25.5</v>
      </c>
    </row>
    <row r="8">
      <c r="A8" s="3" t="s">
        <v>46</v>
      </c>
      <c r="B8" s="3" t="s">
        <v>47</v>
      </c>
      <c r="C8" s="3">
        <v>12</v>
      </c>
      <c r="D8" s="3" t="s">
        <v>39</v>
      </c>
      <c r="E8" s="4">
        <v>6.5</v>
      </c>
      <c r="F8">
        <v>15</v>
      </c>
      <c r="G8" s="6">
        <f>F8*(1-15%)</f>
        <v>12.75</v>
      </c>
    </row>
    <row r="9" ht="28.5">
      <c r="A9" s="3" t="s">
        <v>48</v>
      </c>
      <c r="B9" s="3" t="s">
        <v>49</v>
      </c>
      <c r="C9" s="3">
        <v>12</v>
      </c>
      <c r="D9" s="3" t="s">
        <v>50</v>
      </c>
      <c r="E9" s="4">
        <v>12.5</v>
      </c>
      <c r="F9">
        <v>25</v>
      </c>
      <c r="G9" s="6">
        <f>F9*(1-15%)</f>
        <v>21.25</v>
      </c>
    </row>
    <row r="10">
      <c r="A10" s="3" t="s">
        <v>51</v>
      </c>
      <c r="B10" s="3" t="s">
        <v>52</v>
      </c>
      <c r="C10" s="3">
        <v>12</v>
      </c>
      <c r="D10" s="3" t="s">
        <v>53</v>
      </c>
      <c r="E10" s="4">
        <v>19.5</v>
      </c>
      <c r="F10">
        <v>35</v>
      </c>
      <c r="G10" s="6">
        <f>F10*(1-15%)</f>
        <v>29.75</v>
      </c>
    </row>
    <row r="11">
      <c r="A11" s="3" t="s">
        <v>54</v>
      </c>
      <c r="B11" s="3" t="s">
        <v>52</v>
      </c>
      <c r="C11" s="3">
        <v>12</v>
      </c>
      <c r="D11" s="3" t="s">
        <v>55</v>
      </c>
      <c r="E11" s="4">
        <v>14.5</v>
      </c>
      <c r="F11">
        <v>25</v>
      </c>
      <c r="G11" s="6">
        <f>F11*(1-15%)</f>
        <v>21.25</v>
      </c>
    </row>
    <row r="12" ht="28.5">
      <c r="A12" s="3" t="s">
        <v>56</v>
      </c>
      <c r="B12" s="3" t="s">
        <v>57</v>
      </c>
      <c r="C12" s="3">
        <v>12</v>
      </c>
      <c r="D12" s="3" t="s">
        <v>39</v>
      </c>
      <c r="E12" s="4">
        <v>5</v>
      </c>
      <c r="F12">
        <v>10</v>
      </c>
      <c r="G12" s="6">
        <f>F12*(1-15%)</f>
        <v>8.5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1" sqref="C11"/>
    </sheetView>
  </sheetViews>
  <sheetFormatPr defaultColWidth="49.5" defaultRowHeight="14.25"/>
  <cols>
    <col min="1" max="1" width="21.625" bestFit="1" customWidth="1"/>
    <col min="2" max="2" width="25.25" bestFit="1" customWidth="1"/>
    <col min="3" max="3" width="11.5" bestFit="1" customWidth="1"/>
    <col min="4" max="4" width="28" bestFit="1" customWidth="1"/>
    <col min="5" max="5" width="5.375" bestFit="1" customWidth="1"/>
    <col min="6" max="6" width="9.25" bestFit="1" customWidth="1"/>
    <col min="7" max="7" width="9.75" bestFit="1" customWidth="1"/>
  </cols>
  <sheetData>
    <row r="1" ht="16.5" customHeight="1">
      <c r="A1" s="1" t="s">
        <v>58</v>
      </c>
      <c r="B1" s="1"/>
      <c r="C1" s="1"/>
      <c r="D1" s="1"/>
    </row>
    <row r="2" ht="15">
      <c r="A2" s="2" t="s">
        <v>3</v>
      </c>
      <c r="B2" s="2" t="s">
        <v>4</v>
      </c>
      <c r="C2" s="2" t="s">
        <v>5</v>
      </c>
      <c r="D2" s="2" t="s">
        <v>59</v>
      </c>
      <c r="E2" s="2" t="s">
        <v>7</v>
      </c>
      <c r="F2" s="2" t="s">
        <v>1</v>
      </c>
      <c r="G2" s="2" t="s">
        <v>2</v>
      </c>
      <c r="H2" s="2"/>
    </row>
    <row r="3">
      <c r="A3" s="3" t="s">
        <v>60</v>
      </c>
      <c r="B3" s="3" t="s">
        <v>61</v>
      </c>
      <c r="C3" s="3">
        <v>50</v>
      </c>
      <c r="D3" s="3" t="s">
        <v>62</v>
      </c>
      <c r="E3" s="4">
        <v>4.25</v>
      </c>
      <c r="F3">
        <f>E3*2</f>
        <v>8.5</v>
      </c>
      <c r="G3">
        <f>F3*(1-30%)</f>
        <v>5.9499999999999993</v>
      </c>
    </row>
    <row r="4">
      <c r="A4" s="3" t="s">
        <v>63</v>
      </c>
      <c r="B4" s="3" t="s">
        <v>61</v>
      </c>
      <c r="C4" s="3">
        <v>100</v>
      </c>
      <c r="D4" s="3" t="s">
        <v>64</v>
      </c>
      <c r="E4" s="4">
        <v>2.5</v>
      </c>
      <c r="F4">
        <f>E4*2</f>
        <v>5</v>
      </c>
      <c r="G4">
        <f>F4*(1-30%)</f>
        <v>3.5</v>
      </c>
    </row>
    <row r="5" ht="28.5">
      <c r="A5" s="3" t="s">
        <v>65</v>
      </c>
      <c r="B5" s="3" t="s">
        <v>61</v>
      </c>
      <c r="C5" s="3">
        <v>100</v>
      </c>
      <c r="D5" s="3" t="s">
        <v>66</v>
      </c>
      <c r="E5" s="4">
        <v>1.3</v>
      </c>
      <c r="F5">
        <f>E5*2</f>
        <v>2.6000000000000001</v>
      </c>
      <c r="G5">
        <f>F5*(1-30%)</f>
        <v>1.8199999999999998</v>
      </c>
    </row>
    <row r="6">
      <c r="A6" s="3" t="s">
        <v>67</v>
      </c>
      <c r="B6" s="3" t="s">
        <v>61</v>
      </c>
      <c r="C6" s="3">
        <v>25</v>
      </c>
      <c r="D6" s="3" t="s">
        <v>68</v>
      </c>
      <c r="E6" s="4">
        <v>12</v>
      </c>
      <c r="F6">
        <f>E6*2</f>
        <v>24</v>
      </c>
      <c r="G6">
        <f>F6*(1-30%)</f>
        <v>16.799999999999997</v>
      </c>
    </row>
    <row r="7" ht="28.5">
      <c r="A7" s="3" t="s">
        <v>69</v>
      </c>
      <c r="B7" s="3" t="s">
        <v>70</v>
      </c>
      <c r="C7" s="3">
        <v>50</v>
      </c>
      <c r="D7" s="3" t="s">
        <v>62</v>
      </c>
      <c r="E7" s="4">
        <v>5.5</v>
      </c>
      <c r="F7">
        <f>E7*2</f>
        <v>11</v>
      </c>
      <c r="G7">
        <f>F7*(1-30%)</f>
        <v>7.6999999999999993</v>
      </c>
    </row>
    <row r="8" ht="28.5">
      <c r="A8" s="3" t="s">
        <v>71</v>
      </c>
      <c r="B8" s="3" t="s">
        <v>70</v>
      </c>
      <c r="C8" s="3">
        <v>40</v>
      </c>
      <c r="D8" s="3" t="s">
        <v>72</v>
      </c>
      <c r="E8" s="4">
        <v>7</v>
      </c>
      <c r="F8">
        <f>E8*2</f>
        <v>14</v>
      </c>
      <c r="G8">
        <f>F8*(1-30%)</f>
        <v>9.7999999999999989</v>
      </c>
    </row>
    <row r="9">
      <c r="A9" s="3" t="s">
        <v>73</v>
      </c>
      <c r="B9" s="3" t="s">
        <v>74</v>
      </c>
      <c r="C9" s="3">
        <v>25</v>
      </c>
      <c r="D9" s="3" t="s">
        <v>75</v>
      </c>
      <c r="E9" s="4">
        <v>12</v>
      </c>
      <c r="F9">
        <f>E9*2</f>
        <v>24</v>
      </c>
      <c r="G9">
        <f>F9*(1-30%)</f>
        <v>16.799999999999997</v>
      </c>
    </row>
    <row r="10">
      <c r="A10" s="3" t="s">
        <v>76</v>
      </c>
      <c r="B10" s="3" t="s">
        <v>74</v>
      </c>
      <c r="C10" s="3">
        <v>25</v>
      </c>
      <c r="D10" s="3" t="s">
        <v>77</v>
      </c>
      <c r="E10" s="4">
        <v>5</v>
      </c>
      <c r="F10">
        <f>E10*2</f>
        <v>10</v>
      </c>
      <c r="G10">
        <f>F10*(1-30%)</f>
        <v>7</v>
      </c>
    </row>
    <row r="11">
      <c r="A11" s="3" t="s">
        <v>78</v>
      </c>
      <c r="B11" s="3" t="s">
        <v>74</v>
      </c>
      <c r="C11" s="3">
        <v>50</v>
      </c>
      <c r="D11" s="3" t="s">
        <v>79</v>
      </c>
      <c r="E11" s="4">
        <v>4.5</v>
      </c>
      <c r="F11">
        <f>E11*2</f>
        <v>9</v>
      </c>
      <c r="G11">
        <f>F11*(1-30%)</f>
        <v>6.2999999999999998</v>
      </c>
    </row>
    <row r="12" ht="28.5">
      <c r="A12" s="3" t="s">
        <v>80</v>
      </c>
      <c r="B12" s="3" t="s">
        <v>81</v>
      </c>
      <c r="C12" s="3">
        <v>100</v>
      </c>
      <c r="D12" s="3" t="s">
        <v>64</v>
      </c>
      <c r="E12" s="4">
        <v>3</v>
      </c>
      <c r="F12">
        <f>E12*2</f>
        <v>6</v>
      </c>
      <c r="G12">
        <f>F12*(1-30%)</f>
        <v>4.1999999999999993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0" sqref="C10"/>
    </sheetView>
  </sheetViews>
  <sheetFormatPr defaultColWidth="34.25" defaultRowHeight="14.25"/>
  <cols>
    <col min="1" max="1" width="22.125" bestFit="1" customWidth="1"/>
    <col min="2" max="2" width="26.5" bestFit="1" customWidth="1"/>
    <col min="3" max="3" width="11.5" bestFit="1" customWidth="1"/>
    <col min="4" max="4" width="4.875" bestFit="1" customWidth="1"/>
    <col min="5" max="5" width="32.75" bestFit="1" customWidth="1"/>
    <col min="6" max="6" width="4.875" bestFit="1" customWidth="1"/>
    <col min="7" max="7" width="9.25" bestFit="1" customWidth="1"/>
    <col min="8" max="8" width="9.75" bestFit="1" customWidth="1"/>
  </cols>
  <sheetData>
    <row r="1" ht="16.5" customHeight="1">
      <c r="A1" s="1" t="s">
        <v>82</v>
      </c>
      <c r="B1" s="1"/>
      <c r="C1" s="1"/>
      <c r="D1" s="1"/>
      <c r="E1" s="1"/>
      <c r="F1" s="1"/>
    </row>
    <row r="2" ht="14.5">
      <c r="A2" s="2" t="s">
        <v>3</v>
      </c>
      <c r="B2" s="2" t="s">
        <v>4</v>
      </c>
      <c r="C2" s="2" t="s">
        <v>5</v>
      </c>
      <c r="D2" s="2" t="s">
        <v>83</v>
      </c>
      <c r="E2" s="2" t="s">
        <v>84</v>
      </c>
      <c r="F2" s="2" t="s">
        <v>7</v>
      </c>
      <c r="G2" s="2" t="s">
        <v>1</v>
      </c>
      <c r="H2" s="2" t="s">
        <v>2</v>
      </c>
    </row>
    <row r="3" ht="14.5">
      <c r="A3" s="3" t="s">
        <v>85</v>
      </c>
      <c r="B3" s="3" t="s">
        <v>86</v>
      </c>
      <c r="C3" s="3">
        <v>10</v>
      </c>
      <c r="D3" s="3" t="s">
        <v>87</v>
      </c>
      <c r="E3" s="3" t="s">
        <v>88</v>
      </c>
      <c r="F3" s="4">
        <v>4</v>
      </c>
      <c r="G3">
        <v>10</v>
      </c>
      <c r="H3" s="3">
        <v>6</v>
      </c>
    </row>
    <row r="4" ht="14.5">
      <c r="A4" s="3" t="s">
        <v>89</v>
      </c>
      <c r="B4" s="3" t="s">
        <v>86</v>
      </c>
      <c r="C4" s="3">
        <v>10</v>
      </c>
      <c r="D4" s="3" t="s">
        <v>90</v>
      </c>
      <c r="E4" s="3" t="s">
        <v>88</v>
      </c>
      <c r="F4" s="4">
        <v>3</v>
      </c>
      <c r="G4">
        <v>7</v>
      </c>
      <c r="H4" s="3">
        <v>5</v>
      </c>
    </row>
    <row r="5" ht="14.5">
      <c r="A5" s="3" t="s">
        <v>91</v>
      </c>
      <c r="B5" s="3" t="s">
        <v>86</v>
      </c>
      <c r="C5" s="3">
        <v>10</v>
      </c>
      <c r="D5" s="3" t="s">
        <v>92</v>
      </c>
      <c r="E5" s="3" t="s">
        <v>88</v>
      </c>
      <c r="F5" s="4">
        <v>3</v>
      </c>
      <c r="G5">
        <v>7</v>
      </c>
      <c r="H5" s="3">
        <v>5</v>
      </c>
    </row>
    <row r="6" ht="14.5">
      <c r="A6" s="3" t="s">
        <v>93</v>
      </c>
      <c r="B6" s="3" t="s">
        <v>86</v>
      </c>
      <c r="C6" s="3">
        <v>10</v>
      </c>
      <c r="D6" s="3" t="s">
        <v>94</v>
      </c>
      <c r="E6" s="3" t="s">
        <v>95</v>
      </c>
      <c r="F6" s="4">
        <v>3</v>
      </c>
      <c r="G6">
        <v>7</v>
      </c>
      <c r="H6" s="3">
        <v>5</v>
      </c>
    </row>
    <row r="7" ht="14.5">
      <c r="A7" s="3" t="s">
        <v>96</v>
      </c>
      <c r="B7" s="3" t="s">
        <v>86</v>
      </c>
      <c r="C7" s="3">
        <v>10</v>
      </c>
      <c r="D7" s="3" t="s">
        <v>97</v>
      </c>
      <c r="E7" s="3" t="s">
        <v>88</v>
      </c>
      <c r="F7" s="4">
        <v>3</v>
      </c>
      <c r="G7">
        <v>7</v>
      </c>
      <c r="H7" s="3">
        <v>5</v>
      </c>
    </row>
    <row r="8" ht="58" customHeight="1">
      <c r="A8" s="3" t="s">
        <v>98</v>
      </c>
      <c r="B8" s="3" t="s">
        <v>99</v>
      </c>
      <c r="C8" s="3">
        <v>25</v>
      </c>
      <c r="D8" s="3" t="s">
        <v>87</v>
      </c>
      <c r="E8" s="3" t="s">
        <v>100</v>
      </c>
      <c r="F8" s="4">
        <v>1.5</v>
      </c>
      <c r="G8">
        <v>3</v>
      </c>
      <c r="H8" s="3">
        <v>2</v>
      </c>
    </row>
    <row r="9" ht="43.5" customHeight="1">
      <c r="A9" s="3" t="s">
        <v>101</v>
      </c>
      <c r="B9" s="3" t="s">
        <v>99</v>
      </c>
      <c r="C9" s="3">
        <v>25</v>
      </c>
      <c r="D9" s="3" t="s">
        <v>90</v>
      </c>
      <c r="E9" s="3" t="s">
        <v>102</v>
      </c>
      <c r="F9" s="4">
        <v>1.3999999999999999</v>
      </c>
      <c r="G9">
        <v>3</v>
      </c>
      <c r="H9" s="3">
        <v>2</v>
      </c>
    </row>
    <row r="10" ht="43.5" customHeight="1">
      <c r="A10" s="3" t="s">
        <v>103</v>
      </c>
      <c r="B10" s="3" t="s">
        <v>99</v>
      </c>
      <c r="C10" s="3">
        <v>25</v>
      </c>
      <c r="D10" s="3" t="s">
        <v>92</v>
      </c>
      <c r="E10" s="3" t="s">
        <v>102</v>
      </c>
      <c r="F10" s="4">
        <v>1.3999999999999999</v>
      </c>
      <c r="G10">
        <v>3</v>
      </c>
      <c r="H10" s="3">
        <v>2</v>
      </c>
    </row>
    <row r="11" ht="58" customHeight="1">
      <c r="A11" s="3" t="s">
        <v>104</v>
      </c>
      <c r="B11" s="3" t="s">
        <v>99</v>
      </c>
      <c r="C11" s="3">
        <v>25</v>
      </c>
      <c r="D11" s="3" t="s">
        <v>94</v>
      </c>
      <c r="E11" s="3" t="s">
        <v>100</v>
      </c>
      <c r="F11" s="4">
        <v>1.3999999999999999</v>
      </c>
      <c r="G11">
        <v>3</v>
      </c>
      <c r="H11" s="3">
        <v>2</v>
      </c>
    </row>
    <row r="12" ht="14.5">
      <c r="D12" s="3"/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13" sqref="C13"/>
    </sheetView>
  </sheetViews>
  <sheetFormatPr defaultColWidth="23.375" defaultRowHeight="14.25"/>
  <cols>
    <col min="1" max="1" width="21.625" bestFit="1" customWidth="1"/>
    <col min="2" max="2" width="23.25" bestFit="1" customWidth="1"/>
    <col min="3" max="3" width="11.5" bestFit="1" customWidth="1"/>
    <col min="4" max="4" width="19.5" bestFit="1" customWidth="1"/>
    <col min="5" max="5" width="5.375" bestFit="1" customWidth="1"/>
    <col min="6" max="6" width="9.25" bestFit="1" customWidth="1"/>
    <col min="7" max="7" width="9.75" bestFit="1" customWidth="1"/>
  </cols>
  <sheetData>
    <row r="1" ht="16.5" customHeight="1">
      <c r="A1" s="1" t="s">
        <v>105</v>
      </c>
      <c r="B1" s="1"/>
      <c r="C1" s="1"/>
      <c r="D1" s="1"/>
    </row>
    <row r="2" ht="15">
      <c r="A2" s="2" t="s">
        <v>3</v>
      </c>
      <c r="B2" s="2" t="s">
        <v>4</v>
      </c>
      <c r="C2" s="2" t="s">
        <v>5</v>
      </c>
      <c r="D2" s="2" t="s">
        <v>84</v>
      </c>
      <c r="E2" s="2" t="s">
        <v>7</v>
      </c>
      <c r="F2" s="2" t="s">
        <v>1</v>
      </c>
      <c r="G2" s="2" t="s">
        <v>2</v>
      </c>
    </row>
    <row r="3" ht="28.5">
      <c r="A3" s="3" t="s">
        <v>106</v>
      </c>
      <c r="B3" s="3" t="s">
        <v>107</v>
      </c>
      <c r="C3" s="3">
        <v>4</v>
      </c>
      <c r="D3" s="3" t="s">
        <v>108</v>
      </c>
      <c r="E3" s="4">
        <v>43</v>
      </c>
      <c r="F3">
        <v>80</v>
      </c>
      <c r="G3" s="3">
        <v>70</v>
      </c>
    </row>
    <row r="4" ht="28.5">
      <c r="A4" s="3" t="s">
        <v>109</v>
      </c>
      <c r="B4" s="3" t="s">
        <v>107</v>
      </c>
      <c r="C4" s="3">
        <v>4</v>
      </c>
      <c r="D4" s="3" t="s">
        <v>110</v>
      </c>
      <c r="E4" s="4">
        <v>43</v>
      </c>
      <c r="F4">
        <v>80</v>
      </c>
      <c r="G4" s="3">
        <v>70</v>
      </c>
    </row>
    <row r="5" ht="28.5">
      <c r="A5" s="3" t="s">
        <v>111</v>
      </c>
      <c r="B5" s="3" t="s">
        <v>107</v>
      </c>
      <c r="C5" s="3">
        <v>4</v>
      </c>
      <c r="D5" s="3" t="s">
        <v>112</v>
      </c>
      <c r="E5" s="4">
        <v>43</v>
      </c>
      <c r="F5">
        <v>80</v>
      </c>
      <c r="G5" s="3">
        <v>70</v>
      </c>
    </row>
    <row r="6" ht="28.5">
      <c r="A6" s="3" t="s">
        <v>113</v>
      </c>
      <c r="B6" s="3" t="s">
        <v>107</v>
      </c>
      <c r="C6" s="3">
        <v>4</v>
      </c>
      <c r="D6" s="3" t="s">
        <v>114</v>
      </c>
      <c r="E6" s="4">
        <v>43</v>
      </c>
      <c r="F6">
        <v>80</v>
      </c>
      <c r="G6" s="3">
        <v>70</v>
      </c>
    </row>
    <row r="7" ht="28.5">
      <c r="A7" s="3" t="s">
        <v>115</v>
      </c>
      <c r="B7" s="3" t="s">
        <v>107</v>
      </c>
      <c r="C7" s="3">
        <v>4</v>
      </c>
      <c r="D7" s="3" t="s">
        <v>116</v>
      </c>
      <c r="E7" s="4">
        <v>43</v>
      </c>
      <c r="F7">
        <v>80</v>
      </c>
      <c r="G7" s="3">
        <v>70</v>
      </c>
    </row>
    <row r="8" ht="28.5">
      <c r="A8" s="3" t="s">
        <v>117</v>
      </c>
      <c r="B8" s="3" t="s">
        <v>107</v>
      </c>
      <c r="C8" s="3">
        <v>4</v>
      </c>
      <c r="D8" s="3" t="s">
        <v>118</v>
      </c>
      <c r="E8" s="4">
        <v>43</v>
      </c>
      <c r="F8">
        <v>80</v>
      </c>
      <c r="G8" s="3">
        <v>70</v>
      </c>
    </row>
    <row r="9" ht="28.5">
      <c r="A9" s="3" t="s">
        <v>119</v>
      </c>
      <c r="B9" s="3" t="s">
        <v>107</v>
      </c>
      <c r="C9" s="3">
        <v>4</v>
      </c>
      <c r="D9" s="3" t="s">
        <v>120</v>
      </c>
      <c r="E9" s="4">
        <v>43</v>
      </c>
      <c r="F9">
        <v>80</v>
      </c>
      <c r="G9" s="3">
        <v>70</v>
      </c>
    </row>
    <row r="10" ht="28.5">
      <c r="A10" s="3" t="s">
        <v>121</v>
      </c>
      <c r="B10" s="3" t="s">
        <v>107</v>
      </c>
      <c r="C10" s="3">
        <v>4</v>
      </c>
      <c r="D10" s="3" t="s">
        <v>122</v>
      </c>
      <c r="E10" s="4">
        <v>43</v>
      </c>
      <c r="F10">
        <v>80</v>
      </c>
      <c r="G10" s="3">
        <v>70</v>
      </c>
    </row>
    <row r="11" ht="28.5">
      <c r="A11" s="3" t="s">
        <v>123</v>
      </c>
      <c r="B11" s="3" t="s">
        <v>107</v>
      </c>
      <c r="C11" s="3">
        <v>4</v>
      </c>
      <c r="D11" s="3" t="s">
        <v>124</v>
      </c>
      <c r="E11" s="4">
        <v>43</v>
      </c>
      <c r="F11">
        <v>80</v>
      </c>
      <c r="G11" s="3">
        <v>70</v>
      </c>
    </row>
    <row r="12" ht="28.5">
      <c r="A12" s="3" t="s">
        <v>125</v>
      </c>
      <c r="B12" s="3" t="s">
        <v>107</v>
      </c>
      <c r="C12" s="3">
        <v>4</v>
      </c>
      <c r="D12" s="3" t="s">
        <v>126</v>
      </c>
      <c r="E12" s="4">
        <v>43</v>
      </c>
      <c r="F12">
        <v>80</v>
      </c>
      <c r="G12" s="3">
        <v>70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13" sqref="G13"/>
    </sheetView>
  </sheetViews>
  <sheetFormatPr defaultColWidth="36.125" defaultRowHeight="14.25"/>
  <cols>
    <col min="1" max="1" width="5.5" bestFit="1" customWidth="1"/>
    <col min="2" max="2" width="13.875" bestFit="1" customWidth="1"/>
    <col min="3" max="3" width="11.875" bestFit="1" customWidth="1"/>
    <col min="4" max="4" width="13.875" bestFit="1" customWidth="1"/>
    <col min="5" max="5" width="4.875" bestFit="1" customWidth="1"/>
    <col min="6" max="6" width="9.25" bestFit="1" customWidth="1"/>
    <col min="7" max="7" width="9.75" bestFit="1" customWidth="1"/>
  </cols>
  <sheetData>
    <row r="1" ht="16.5" customHeight="1">
      <c r="A1" s="1" t="s">
        <v>127</v>
      </c>
      <c r="B1" s="1"/>
      <c r="C1" s="1"/>
      <c r="D1" s="1"/>
    </row>
    <row r="2" ht="15">
      <c r="A2" s="2" t="s">
        <v>3</v>
      </c>
      <c r="B2" s="2" t="s">
        <v>4</v>
      </c>
      <c r="C2" s="2" t="s">
        <v>128</v>
      </c>
      <c r="D2" s="2" t="s">
        <v>6</v>
      </c>
      <c r="E2" s="2" t="s">
        <v>7</v>
      </c>
      <c r="F2" s="2" t="s">
        <v>1</v>
      </c>
      <c r="G2" s="2" t="s">
        <v>2</v>
      </c>
    </row>
    <row r="3" ht="28.5">
      <c r="A3" s="3"/>
      <c r="B3" s="3" t="s">
        <v>129</v>
      </c>
      <c r="C3" s="3">
        <v>60</v>
      </c>
      <c r="D3" s="3" t="s">
        <v>129</v>
      </c>
      <c r="E3">
        <v>39</v>
      </c>
      <c r="F3">
        <v>55</v>
      </c>
      <c r="G3" s="3">
        <v>48</v>
      </c>
    </row>
    <row r="4" ht="28.5">
      <c r="A4" s="3"/>
      <c r="B4" s="3" t="s">
        <v>130</v>
      </c>
      <c r="C4" s="3">
        <v>60</v>
      </c>
      <c r="D4" s="3" t="s">
        <v>130</v>
      </c>
      <c r="E4">
        <v>44</v>
      </c>
      <c r="F4">
        <v>65</v>
      </c>
      <c r="G4" s="3">
        <v>58</v>
      </c>
    </row>
    <row r="5" ht="42.75">
      <c r="A5" s="3"/>
      <c r="B5" s="3" t="s">
        <v>131</v>
      </c>
      <c r="C5" s="3">
        <v>60</v>
      </c>
      <c r="D5" s="3" t="s">
        <v>131</v>
      </c>
      <c r="E5">
        <v>91</v>
      </c>
      <c r="F5">
        <v>140</v>
      </c>
      <c r="G5" s="3">
        <v>125</v>
      </c>
    </row>
    <row r="6" ht="28.5">
      <c r="A6" s="3"/>
      <c r="B6" s="3" t="s">
        <v>132</v>
      </c>
      <c r="C6" s="3">
        <v>60</v>
      </c>
      <c r="D6" s="3" t="s">
        <v>132</v>
      </c>
      <c r="E6">
        <v>44</v>
      </c>
      <c r="F6">
        <v>65</v>
      </c>
      <c r="G6" s="3">
        <v>58</v>
      </c>
    </row>
    <row r="7">
      <c r="A7" s="3"/>
      <c r="B7" s="3" t="s">
        <v>133</v>
      </c>
      <c r="C7" s="3"/>
      <c r="D7" s="4"/>
    </row>
    <row r="8">
      <c r="A8" s="3"/>
      <c r="B8" s="3" t="s">
        <v>134</v>
      </c>
      <c r="C8" s="3"/>
      <c r="D8" s="4"/>
    </row>
    <row r="9">
      <c r="A9" s="3"/>
      <c r="B9" s="3" t="s">
        <v>135</v>
      </c>
      <c r="C9" s="3"/>
      <c r="D9" s="4"/>
    </row>
    <row r="10">
      <c r="A10" s="3"/>
      <c r="B10" s="3" t="s">
        <v>136</v>
      </c>
      <c r="C10" s="3"/>
      <c r="D10" s="4"/>
    </row>
    <row r="11">
      <c r="A11" s="3"/>
      <c r="B11" s="3"/>
      <c r="C11" s="3"/>
      <c r="D11" s="4"/>
    </row>
    <row r="12">
      <c r="A12" s="3"/>
      <c r="B12" s="3"/>
      <c r="C12" s="3"/>
      <c r="D12" s="4"/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16" sqref="K16"/>
    </sheetView>
  </sheetViews>
  <sheetFormatPr defaultRowHeight="14.25"/>
  <cols>
    <col min="1" max="1" width="5.5" bestFit="1" customWidth="1"/>
    <col min="2" max="2" width="9.125" bestFit="1" customWidth="1"/>
    <col min="3" max="3" width="11.875" bestFit="1" customWidth="1"/>
    <col min="4" max="4" width="13.625" bestFit="1" customWidth="1"/>
    <col min="5" max="5" width="4.875" bestFit="1" customWidth="1"/>
    <col min="6" max="6" width="9.25" bestFit="1" customWidth="1"/>
    <col min="7" max="7" width="9.75" bestFit="1" customWidth="1"/>
  </cols>
  <sheetData>
    <row r="1" ht="16.5" customHeight="1">
      <c r="A1" s="1" t="s">
        <v>127</v>
      </c>
      <c r="B1" s="1"/>
      <c r="C1" s="1"/>
      <c r="D1" s="1"/>
    </row>
    <row r="2" ht="15">
      <c r="A2" s="2" t="s">
        <v>3</v>
      </c>
      <c r="B2" s="2" t="s">
        <v>4</v>
      </c>
      <c r="C2" s="2" t="s">
        <v>128</v>
      </c>
      <c r="D2" s="2" t="s">
        <v>6</v>
      </c>
      <c r="E2" s="2" t="s">
        <v>7</v>
      </c>
      <c r="F2" s="2" t="s">
        <v>1</v>
      </c>
      <c r="G2" s="2" t="s">
        <v>2</v>
      </c>
    </row>
    <row r="3">
      <c r="B3" t="s">
        <v>137</v>
      </c>
      <c r="C3">
        <v>80</v>
      </c>
      <c r="D3" t="s">
        <v>138</v>
      </c>
      <c r="E3">
        <v>40.5</v>
      </c>
      <c r="F3">
        <v>65</v>
      </c>
      <c r="G3">
        <v>60</v>
      </c>
    </row>
    <row r="4">
      <c r="B4" t="s">
        <v>139</v>
      </c>
      <c r="C4">
        <v>80</v>
      </c>
      <c r="D4" t="s">
        <v>139</v>
      </c>
      <c r="E4">
        <v>24</v>
      </c>
      <c r="F4">
        <v>30</v>
      </c>
      <c r="G4">
        <v>28</v>
      </c>
    </row>
    <row r="5">
      <c r="B5" t="s">
        <v>140</v>
      </c>
      <c r="C5">
        <v>80</v>
      </c>
      <c r="D5" t="s">
        <v>140</v>
      </c>
      <c r="E5">
        <v>13</v>
      </c>
      <c r="F5">
        <v>20</v>
      </c>
      <c r="G5">
        <v>18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11" sqref="H11"/>
    </sheetView>
  </sheetViews>
  <sheetFormatPr defaultColWidth="33.875" defaultRowHeight="14.25"/>
  <cols>
    <col min="1" max="1" width="11.25" bestFit="1" customWidth="1"/>
    <col min="2" max="2" width="9.5" bestFit="1" customWidth="1"/>
    <col min="3" max="3" width="11.875" bestFit="1" customWidth="1"/>
    <col min="4" max="4" width="34.125" bestFit="1" customWidth="1"/>
    <col min="5" max="5" width="4.875" bestFit="1" customWidth="1"/>
    <col min="6" max="6" width="19.375" customWidth="1"/>
    <col min="7" max="7" width="18.875" customWidth="1"/>
  </cols>
  <sheetData>
    <row r="1" ht="16.5" customHeight="1">
      <c r="A1" s="1" t="s">
        <v>141</v>
      </c>
      <c r="B1" s="1"/>
      <c r="C1" s="1"/>
      <c r="D1" s="1" t="s">
        <v>142</v>
      </c>
    </row>
    <row r="2" ht="15">
      <c r="A2" s="2" t="s">
        <v>3</v>
      </c>
      <c r="B2" s="2" t="s">
        <v>4</v>
      </c>
      <c r="C2" s="2" t="s">
        <v>143</v>
      </c>
      <c r="D2" s="2" t="s">
        <v>6</v>
      </c>
      <c r="E2" s="2" t="s">
        <v>7</v>
      </c>
      <c r="F2" s="2" t="s">
        <v>1</v>
      </c>
      <c r="G2" s="2" t="s">
        <v>2</v>
      </c>
    </row>
    <row r="3" ht="28.5">
      <c r="A3" s="3"/>
      <c r="B3" s="3" t="s">
        <v>144</v>
      </c>
      <c r="C3" s="3" t="s">
        <v>145</v>
      </c>
      <c r="D3" s="4" t="s">
        <v>146</v>
      </c>
      <c r="E3">
        <v>15</v>
      </c>
      <c r="F3">
        <v>25</v>
      </c>
      <c r="G3">
        <v>18.5</v>
      </c>
    </row>
    <row r="4" ht="28.5">
      <c r="A4" s="3"/>
      <c r="B4" s="3" t="s">
        <v>144</v>
      </c>
      <c r="C4" s="3" t="s">
        <v>147</v>
      </c>
      <c r="D4" s="4" t="s">
        <v>148</v>
      </c>
      <c r="E4">
        <v>75</v>
      </c>
      <c r="F4">
        <v>125</v>
      </c>
      <c r="G4">
        <v>92.5</v>
      </c>
    </row>
    <row r="5" ht="28.5">
      <c r="A5" s="3"/>
      <c r="B5" s="3" t="s">
        <v>149</v>
      </c>
      <c r="C5" s="3" t="s">
        <v>145</v>
      </c>
      <c r="D5" s="4" t="s">
        <v>146</v>
      </c>
      <c r="E5">
        <v>15</v>
      </c>
      <c r="F5">
        <v>25</v>
      </c>
      <c r="G5">
        <v>18.5</v>
      </c>
    </row>
    <row r="6" ht="28.5">
      <c r="A6" s="3"/>
      <c r="B6" s="3" t="s">
        <v>149</v>
      </c>
      <c r="C6" s="3" t="s">
        <v>147</v>
      </c>
      <c r="D6" s="4" t="s">
        <v>148</v>
      </c>
      <c r="E6">
        <v>75</v>
      </c>
      <c r="F6">
        <v>125</v>
      </c>
      <c r="G6">
        <v>92.5</v>
      </c>
    </row>
    <row r="7">
      <c r="A7" s="3"/>
      <c r="B7" s="3" t="s">
        <v>150</v>
      </c>
      <c r="C7" s="3" t="s">
        <v>145</v>
      </c>
      <c r="D7" s="4" t="s">
        <v>151</v>
      </c>
      <c r="E7">
        <v>15</v>
      </c>
      <c r="F7">
        <v>25</v>
      </c>
      <c r="G7">
        <v>20</v>
      </c>
    </row>
    <row r="8">
      <c r="A8" s="3"/>
      <c r="B8" s="3" t="s">
        <v>152</v>
      </c>
      <c r="C8" s="3" t="s">
        <v>145</v>
      </c>
      <c r="D8" s="4" t="s">
        <v>151</v>
      </c>
      <c r="E8">
        <v>15</v>
      </c>
      <c r="F8">
        <v>25</v>
      </c>
      <c r="G8">
        <v>20</v>
      </c>
    </row>
    <row r="9" ht="28.5">
      <c r="A9" s="3"/>
      <c r="B9" s="3" t="s">
        <v>153</v>
      </c>
      <c r="C9" s="3">
        <v>1</v>
      </c>
      <c r="D9" s="4" t="s">
        <v>154</v>
      </c>
      <c r="E9">
        <v>7</v>
      </c>
      <c r="F9">
        <v>15</v>
      </c>
      <c r="G9" t="s">
        <v>21</v>
      </c>
    </row>
    <row r="10" ht="28.5">
      <c r="A10" s="3"/>
      <c r="B10" s="3" t="s">
        <v>153</v>
      </c>
      <c r="C10" s="3">
        <v>12</v>
      </c>
      <c r="D10" s="4" t="s">
        <v>155</v>
      </c>
      <c r="E10">
        <v>84</v>
      </c>
      <c r="F10">
        <v>150</v>
      </c>
      <c r="G10">
        <v>130</v>
      </c>
    </row>
    <row r="11">
      <c r="A11" s="3"/>
      <c r="B11" s="3"/>
      <c r="C11" s="3"/>
      <c r="D11" s="4"/>
    </row>
    <row r="12">
      <c r="A12" s="3"/>
      <c r="B12" s="3"/>
      <c r="C12" s="3"/>
      <c r="D12" s="4"/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Adham Ighbariah</dc:creator>
  <cp:lastModifiedBy>OMARPC\win 11</cp:lastModifiedBy>
  <dcterms:created xsi:type="dcterms:W3CDTF">2026-04-26T15:42:20Z</dcterms:created>
  <dcterms:modified xsi:type="dcterms:W3CDTF">2026-04-30T11:47:08Z</dcterms:modified>
</cp:coreProperties>
</file>